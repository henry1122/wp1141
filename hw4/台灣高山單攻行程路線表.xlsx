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說明" sheetId="1" r:id="rId4"/>
    <sheet state="visible" name="台灣高山單攻行程路線表" sheetId="2" r:id="rId5"/>
    <sheet state="visible" name="FKT" sheetId="3" r:id="rId6"/>
    <sheet state="hidden" name="入山入園山屋營地申請連結" sheetId="4"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6">
      <text>
        <t xml:space="preserve">塔塔加鞍部登山口起登
</t>
      </text>
    </comment>
    <comment authorId="0" ref="B27">
      <text>
        <t xml:space="preserve">爬升量可能高估</t>
      </text>
    </comment>
    <comment authorId="0" ref="D31">
      <text>
        <t xml:space="preserve">Thomas Chang</t>
      </text>
    </comment>
    <comment authorId="0" ref="D33">
      <text>
        <t xml:space="preserve">阿超</t>
      </text>
    </comment>
    <comment authorId="0" ref="N36">
      <text>
        <t xml:space="preserve">估算出的上河時間，僅供參考</t>
      </text>
    </comment>
    <comment authorId="0" ref="D38">
      <text>
        <t xml:space="preserve">塔塔加鞍部登山口起登</t>
      </text>
    </comment>
    <comment authorId="0" ref="D41">
      <text>
        <t xml:space="preserve">摩根</t>
      </text>
    </comment>
    <comment authorId="0" ref="D42">
      <text>
        <t xml:space="preserve">雪山大水池起登
</t>
      </text>
    </comment>
    <comment authorId="0" ref="D43">
      <text>
        <t xml:space="preserve">軌跡檔有誤改手拉</t>
      </text>
    </comment>
    <comment authorId="0" ref="R47">
      <text>
        <t xml:space="preserve">暫時找不到軌跡，用這一份順走的</t>
      </text>
    </comment>
    <comment authorId="0" ref="D51">
      <text>
        <t xml:space="preserve">Bio Tsai</t>
      </text>
    </comment>
    <comment authorId="0" ref="B54">
      <text>
        <t xml:space="preserve">距離偏少，有低估的可能
至少32公里 (EP 57)</t>
      </text>
    </comment>
    <comment authorId="0" ref="K54">
      <text>
        <t xml:space="preserve">距離偏少，有低估的可能
至少32公里 (EP 57)</t>
      </text>
    </comment>
    <comment authorId="0" ref="L54">
      <text>
        <t xml:space="preserve">爬升偏低，有低估的可能
至少2500公尺 (EP 57)</t>
      </text>
    </comment>
    <comment authorId="0" ref="M54">
      <text>
        <t xml:space="preserve">爬升偏低，有低估的可能
至少2500公尺 (EP 57)</t>
      </text>
    </comment>
    <comment authorId="0" ref="D56">
      <text>
        <t xml:space="preserve">登山口來回踢6K柏油路</t>
      </text>
    </comment>
    <comment authorId="0" ref="D57">
      <text>
        <t xml:space="preserve">Bio Tsai</t>
      </text>
    </comment>
    <comment authorId="0" ref="D69">
      <text>
        <t xml:space="preserve">Thomas</t>
      </text>
    </comment>
    <comment authorId="0" ref="D70">
      <text>
        <t xml:space="preserve">廖庭輝
</t>
      </text>
    </comment>
    <comment authorId="0" ref="D73">
      <text>
        <t xml:space="preserve">沒去奇萊北峰
</t>
      </text>
    </comment>
    <comment authorId="0" ref="D78">
      <text>
        <t xml:space="preserve">瓊慧</t>
      </text>
    </comment>
    <comment authorId="0" ref="D81">
      <text>
        <t xml:space="preserve">難的地方在於對路況及方向的研判能力，請慎重做好功課再前往
</t>
      </text>
    </comment>
    <comment authorId="0" ref="K87">
      <text>
        <t xml:space="preserve">上東埔停車場起登</t>
      </text>
    </comment>
    <comment authorId="0" ref="B88">
      <text>
        <t xml:space="preserve">有可能低估爬升，EP應該更高</t>
      </text>
    </comment>
    <comment authorId="0" ref="L88">
      <text>
        <t xml:space="preserve">有可能低估爬升</t>
      </text>
    </comment>
    <comment authorId="0" ref="D97">
      <text>
        <t xml:space="preserve">軌跡在里程跟距離有誤差，我有稍作調整
</t>
      </text>
    </comment>
    <comment authorId="0" ref="D99">
      <text>
        <t xml:space="preserve">智勇</t>
      </text>
    </comment>
    <comment authorId="0" ref="B100">
      <text>
        <t xml:space="preserve">距離+總爬升/100，實際走的下坡超多，可能會很累唷</t>
      </text>
    </comment>
    <comment authorId="0" ref="N108">
      <text>
        <t xml:space="preserve">玉山南稜段的時間不準
</t>
      </text>
    </comment>
    <comment authorId="0" ref="N110">
      <text>
        <t xml:space="preserve">東霸尖山來回估10小時</t>
      </text>
    </comment>
    <comment authorId="0" ref="D116">
      <text>
        <t xml:space="preserve">張元植
其他人的兩趟里程紀錄是 44.4km，累積爬升4740m，耗力指數91</t>
      </text>
    </comment>
    <comment authorId="0" ref="R121">
      <text>
        <t xml:space="preserve">軌跡的紀錄為EP 87，而不是91</t>
      </text>
    </comment>
    <comment authorId="0" ref="B126">
      <text>
        <t xml:space="preserve">距離+總爬升/100，實際上下坡超多可能會很累唷</t>
      </text>
    </comment>
    <comment authorId="0" ref="D128">
      <text>
        <t xml:space="preserve">雷神
</t>
      </text>
    </comment>
    <comment authorId="0" ref="D134">
      <text>
        <t xml:space="preserve">陳彥博</t>
      </text>
    </comment>
    <comment authorId="0" ref="E134">
      <text>
        <t xml:space="preserve">沒去巴巴山、南湖南峰</t>
      </text>
    </comment>
    <comment authorId="0" ref="O134">
      <text>
        <t xml:space="preserve">估出來的</t>
      </text>
    </comment>
    <comment authorId="0" ref="N137">
      <text>
        <t xml:space="preserve">東霸尖山估10小時來回</t>
      </text>
    </comment>
    <comment authorId="0" ref="D138">
      <text>
        <t xml:space="preserve">Harry Liang</t>
      </text>
    </comment>
    <comment authorId="0" ref="K141">
      <text>
        <t xml:space="preserve">使用的是軌跡的數據，而不是詳細路線說明的數據</t>
      </text>
    </comment>
    <comment authorId="0" ref="O146">
      <text>
        <t xml:space="preserve">劉忠孝</t>
      </text>
    </comment>
    <comment authorId="0" ref="D150">
      <text>
        <t xml:space="preserve">張逢源
扣掉環山來回登山口的距離時間就是24小時之內了
不踢公路林道的話距離更短</t>
      </text>
    </comment>
    <comment authorId="0" ref="D153">
      <text>
        <t xml:space="preserve">軌跡檔案寫：距離63.3km+爬升7351m=EP 136.8</t>
      </text>
    </comment>
    <comment authorId="0" ref="D154">
      <text>
        <t xml:space="preserve">盆駒西稜上
https://www.strava.com/activities/9415584127
</t>
      </text>
    </comment>
    <comment authorId="0" ref="E156">
      <text>
        <t xml:space="preserve">馬利加南山
</t>
      </text>
    </comment>
    <comment authorId="0" ref="O157">
      <text>
        <t xml:space="preserve">以前沒全部崩塌斷掉比較好跑</t>
      </text>
    </comment>
    <comment authorId="0" ref="D158">
      <text>
        <t xml:space="preserve">古明政大哥
</t>
      </text>
    </comment>
    <comment authorId="0" ref="D160">
      <text>
        <t xml:space="preserve">國賓</t>
      </text>
    </comment>
    <comment authorId="0" ref="D161">
      <text>
        <t xml:space="preserve">國賓</t>
      </text>
    </comment>
    <comment authorId="0" ref="E161">
      <text>
        <t xml:space="preserve">達芬尖山、塔芬山、轆轆山、雲峰、南雙頭山、三叉山</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5">
      <text>
        <t xml:space="preserve">FKT Taiwan 粉絲專頁寫：22km/2046m</t>
      </text>
    </comment>
    <comment authorId="0" ref="D6">
      <text>
        <t xml:space="preserve">FKT Taiwan 粉絲專頁寫：26km/1950m</t>
      </text>
    </comment>
    <comment authorId="0" ref="D7">
      <text>
        <t xml:space="preserve">FKT Taiwan 粉絲專頁寫：38.7km/1925m</t>
      </text>
    </comment>
    <comment authorId="0" ref="D8">
      <text>
        <t xml:space="preserve">FKT Taiwan 粉絲專頁寫：16km/2000m</t>
      </text>
    </comment>
    <comment authorId="0" ref="D9">
      <text>
        <t xml:space="preserve">FKT Taiwan 粉絲專頁寫：一樣寫19km/1600m</t>
      </text>
    </comment>
    <comment authorId="0" ref="D10">
      <text>
        <t xml:space="preserve">FKT Taiwan 粉絲專頁寫：18km/2145m</t>
      </text>
    </comment>
    <comment authorId="0" ref="D13">
      <text>
        <t xml:space="preserve">吳大哥的紀錄是26.2km 從東埔；
FKT Taiwan 粉絲專頁寫：23km/1750m</t>
      </text>
    </comment>
    <comment authorId="0" ref="D14">
      <text>
        <t xml:space="preserve">FKT Taiwan 粉絲專頁寫：20km/1686m</t>
      </text>
    </comment>
    <comment authorId="0" ref="D15">
      <text>
        <t xml:space="preserve">FKT Taiwan 粉絲專頁寫：22km/2100m
周青的紀錄是：20.31km/2354m</t>
      </text>
    </comment>
    <comment authorId="0" ref="D16">
      <text>
        <t xml:space="preserve">FKT Taiwan 粉絲專頁寫：40km/3200m</t>
      </text>
    </comment>
    <comment authorId="0" ref="D17">
      <text>
        <t xml:space="preserve">FKT Taiwan 粉絲專頁寫：55km</t>
      </text>
    </comment>
    <comment authorId="0" ref="I17">
      <text>
        <t xml:space="preserve">許雷力</t>
      </text>
    </comment>
  </commentList>
</comments>
</file>

<file path=xl/sharedStrings.xml><?xml version="1.0" encoding="utf-8"?>
<sst xmlns="http://schemas.openxmlformats.org/spreadsheetml/2006/main" count="1009" uniqueCount="446">
  <si>
    <t>高山活動具一定風險，請選擇合乎自己能力範圍的路線，
做好功課、備齊裝備、下載離線軌跡地圖參考、擬訂計畫、落實折返時間，
自己的安全自己負責；還有要記得自己帶來山林的垃圾，自己帶下山。</t>
  </si>
  <si>
    <t>路線選擇說明</t>
  </si>
  <si>
    <r>
      <rPr>
        <rFont val="Arial"/>
        <b/>
        <color theme="1"/>
        <sz val="12.0"/>
      </rPr>
      <t xml:space="preserve">假設你目前最長的單攻經驗是合歡山西峰，以其總距離14公里、總爬升1500公尺的數據，計算出耗力指數是29(14+1500/100)，基本上你就可以選擇耗力指數在這個範圍的路線。
如果你選擇了耗力指數49的干卓萬山單攻，理論上可能要比合歡山西峰多耗費近70%的體力。
</t>
    </r>
    <r>
      <rPr>
        <rFont val="Arial"/>
        <b/>
        <color rgb="FFFF0000"/>
        <sz val="12.0"/>
      </rPr>
      <t xml:space="preserve">請注意！這只是選擇適合自己能力的路線的初步建議，其他關於路況資訊等外在因素(例如：天氣、水源、指標、植被密度、困難或危險地形...)請另外考量，不代表相同耗力指數的路線你都一定可以完成。
</t>
    </r>
  </si>
  <si>
    <t>安全建議</t>
  </si>
  <si>
    <t>戶外活動具一定風險，請選擇合乎自己能力範圍的路線，做好功課、齊全裝備、擬訂計畫、落實折返時間，自己的安全自己負責。</t>
  </si>
  <si>
    <t>上河行走時間</t>
  </si>
  <si>
    <t xml:space="preserve">由登山地圖第一把交椅「上河文化出版社」，創立二十年只專注「地圖繪製」，彙整大量山友走過該路線綜合評估而成的輕裝登山時間，包含中途小休時間。
</t>
  </si>
  <si>
    <t>資料出處說明</t>
  </si>
  <si>
    <r>
      <rPr>
        <rFont val="Arial"/>
        <b/>
        <color rgb="FFFF0000"/>
        <sz val="12.0"/>
      </rPr>
      <t xml:space="preserve">本表格的資料大多數都是熱心的山友們無私提供到單攻行不行臉書社團的，由原著整理。
</t>
    </r>
    <r>
      <rPr>
        <rFont val="Arial"/>
        <b/>
        <color rgb="FF000000"/>
        <sz val="12.0"/>
      </rPr>
      <t>歡迎自取、轉傳、分享、推廣台灣山林給朋友。</t>
    </r>
  </si>
  <si>
    <t>新手路線</t>
  </si>
  <si>
    <r>
      <rPr>
        <rFont val="Arial"/>
        <b/>
        <color theme="1"/>
        <sz val="12.0"/>
      </rPr>
      <t>1.十二小時內完成，去回程大致路徑相同，安全考量及後續撤退，且不需異地接駁 
2.總距離不超過半程馬拉松距離 21 公里 97.5 米
3.</t>
    </r>
    <r>
      <rPr>
        <rFont val="Arial"/>
        <b/>
        <color rgb="FFFF0000"/>
        <sz val="12.0"/>
      </rPr>
      <t>耗力指數 25 以下</t>
    </r>
    <r>
      <rPr>
        <rFont val="Arial"/>
        <b/>
        <color theme="1"/>
        <sz val="12.0"/>
      </rPr>
      <t>，距離(公里)+爬升(公尺)/100 所計算出的數值 
4.總爬升高度不超過 2500 公尺
5.可通過合法申請國家公園入園一日行程</t>
    </r>
  </si>
  <si>
    <t>入門路線</t>
  </si>
  <si>
    <r>
      <rPr>
        <rFont val="Arial"/>
        <b/>
        <color theme="1"/>
        <sz val="12.0"/>
      </rPr>
      <t>1.十二小時內完成，去回程大致路徑相同，安全考量及後續撤退，且不需異地接駁 
2.總距離不超過半程馬拉松距離 21 公里 97.5 米
3.</t>
    </r>
    <r>
      <rPr>
        <rFont val="Arial"/>
        <b/>
        <color rgb="FFFF0000"/>
        <sz val="12.0"/>
      </rPr>
      <t>耗力指數 50 以下</t>
    </r>
    <r>
      <rPr>
        <rFont val="Arial"/>
        <b/>
        <color theme="1"/>
        <sz val="12.0"/>
      </rPr>
      <t>，距離(公里)+爬升(公尺)/100 所計算出的數值 
4.總爬升高度不超過 2500 公尺
5.可通過合法申請國家公園入園一日行程</t>
    </r>
  </si>
  <si>
    <t>進階路線</t>
  </si>
  <si>
    <r>
      <rPr>
        <rFont val="Arial"/>
        <b/>
        <color theme="1"/>
        <sz val="12.0"/>
      </rPr>
      <t>1.十八小時內完成
2.總距離超過半程馬拉松距離 21 公里 97.5 米
3.</t>
    </r>
    <r>
      <rPr>
        <rFont val="Arial"/>
        <b/>
        <color rgb="FFFF0000"/>
        <sz val="12.0"/>
      </rPr>
      <t>耗力指數 80 以下</t>
    </r>
    <r>
      <rPr>
        <rFont val="Arial"/>
        <b/>
        <color theme="1"/>
        <sz val="12.0"/>
      </rPr>
      <t>，距離(公里)+爬升(公尺)/100 所計算出的數值 
4.總爬升高度超過 2500 公尺 
5.可通過合法申請國家公園入園一日行程</t>
    </r>
  </si>
  <si>
    <t>高階路線</t>
  </si>
  <si>
    <r>
      <rPr>
        <rFont val="Arial"/>
        <b/>
        <color rgb="FF000000"/>
        <sz val="12.0"/>
      </rPr>
      <t>1.二十四小時內完成， 去回程大致路徑相同，安全考量及後續撤退，且不需異地接駁 
2.總距離超過全程馬拉松距離 42 公里 195 米
3.</t>
    </r>
    <r>
      <rPr>
        <rFont val="Arial"/>
        <b/>
        <color rgb="FFFF0000"/>
        <sz val="12.0"/>
      </rPr>
      <t>耗力指數 115 以下</t>
    </r>
    <r>
      <rPr>
        <rFont val="Arial"/>
        <b/>
        <color rgb="FF000000"/>
        <sz val="12.0"/>
      </rPr>
      <t>，距離(公里)+爬升(公尺)/100 所計算出的數值 
4.總爬升高度超過 4000 公尺
5.可通過合法申請國家公園入園一日行程</t>
    </r>
  </si>
  <si>
    <t>神人路線</t>
  </si>
  <si>
    <t>四大皆空，出神入化</t>
  </si>
  <si>
    <t>技術名詞</t>
  </si>
  <si>
    <t>說                          明</t>
  </si>
  <si>
    <t>耗力指數 
Effort Points
(簡稱EP)</t>
  </si>
  <si>
    <r>
      <rPr>
        <rFont val="Arial"/>
        <b/>
        <color rgb="FF000000"/>
        <sz val="12.0"/>
      </rPr>
      <t xml:space="preserve">引進ITRA(國際野跑協會)評估賽道難度的方式，以"距離(公里)+爬升(公尺)/100"計算出的數值將賽道分級。道理很簡單，在平地前進一公里所耗費的體力約等於垂直爬升100公尺。
</t>
    </r>
    <r>
      <rPr>
        <rFont val="Arial"/>
        <b/>
        <color rgb="FFFF0000"/>
        <sz val="12.0"/>
      </rPr>
      <t>但因為登山路線不比越野賽道，沒有主辦單位的刻意維護與整理，如箭竹或崩壁等困難地形，需另外斟酌考量。</t>
    </r>
  </si>
  <si>
    <t>速度指數 
Effort Points per Hour</t>
  </si>
  <si>
    <r>
      <rPr>
        <rFont val="Arial"/>
        <b/>
        <color rgb="FF000000"/>
        <sz val="12.0"/>
      </rPr>
      <t xml:space="preserve">承繼上者，以"耗力指數/時間(小時)"計算，這個數據由香港知名野跑選手黃浩聰(2019年UTMB第七名)發想，與路線特性和個人能力相關。
</t>
    </r>
    <r>
      <rPr>
        <rFont val="Arial"/>
        <b/>
        <color rgb="FFFF0000"/>
        <sz val="12.0"/>
      </rPr>
      <t>不同人執行相同路線，數字越高代表該員能力越強；相同人不同路線，數字越高代表該路線可跑性越高(越容易行進)。</t>
    </r>
  </si>
  <si>
    <t>行進速度指數</t>
  </si>
  <si>
    <t>扣除休息時間計算出之速度指數</t>
  </si>
  <si>
    <t>ITRA積分</t>
  </si>
  <si>
    <t>EP&lt;25 = 0分; EP&lt;45 = 1分; EP&lt;75 = 2分; EP&lt;115 = 3分; 
EP&lt;155 = 4分; EP&lt;210 = 5分; EP &gt;=210 都6分</t>
  </si>
  <si>
    <t>FKT</t>
  </si>
  <si>
    <t>Fastest Known Time，單一特定路線最快時間記錄</t>
  </si>
  <si>
    <t>實用資訊</t>
  </si>
  <si>
    <t>連                          結</t>
  </si>
  <si>
    <t>單攻行不行臉書社團</t>
  </si>
  <si>
    <t>https://www.facebook.com/groups/WTGfastpacking</t>
  </si>
  <si>
    <t>單攻行不行路線總表</t>
  </si>
  <si>
    <t>https://reurl.cc/XV6aqR</t>
  </si>
  <si>
    <t>登山通報站</t>
  </si>
  <si>
    <t>https://www.facebook.com/groups/935203886528583</t>
  </si>
  <si>
    <t>登山借問站</t>
  </si>
  <si>
    <t>https://www.facebook.com/groups/1653614654914504</t>
  </si>
  <si>
    <t>行程模版</t>
  </si>
  <si>
    <t>https://reurl.cc/R4o8a6</t>
  </si>
  <si>
    <t>速度指數應用</t>
  </si>
  <si>
    <t>https://reurl.cc/qO9kx0</t>
  </si>
  <si>
    <t>魯地圖安裝說明</t>
  </si>
  <si>
    <t>https://reurl.cc/VXgvqy</t>
  </si>
  <si>
    <t>上河步程圖</t>
  </si>
  <si>
    <t>http://www.sunriver.com.tw/step2020.htm</t>
  </si>
  <si>
    <t>上河高差圖</t>
  </si>
  <si>
    <t>http://www.sunriver.com.tw/step2020_1.htm</t>
  </si>
  <si>
    <t>國際越野跑協會</t>
  </si>
  <si>
    <t>https://itra.run/</t>
  </si>
  <si>
    <t>台灣高山單攻行程路線表</t>
  </si>
  <si>
    <t>▼Way to Go Fastpacking▲</t>
  </si>
  <si>
    <t>高山活動具一定風險，請選擇合乎自己能力範圍的路線，做好功課、備齊裝備、下載離線軌跡地圖參考、擬訂計畫、
落實折返時間，自己的安全自己負責；還有要記得自己帶來山林的垃圾，自己帶下山。</t>
  </si>
  <si>
    <t>難度</t>
  </si>
  <si>
    <t>耗力指數(EP)</t>
  </si>
  <si>
    <t>ITRA
積分</t>
  </si>
  <si>
    <t>路線</t>
  </si>
  <si>
    <t>百岳數</t>
  </si>
  <si>
    <t>行程天數</t>
  </si>
  <si>
    <t>管轄單位</t>
  </si>
  <si>
    <t>入園證</t>
  </si>
  <si>
    <t>入山證</t>
  </si>
  <si>
    <t>總距離(公里)</t>
  </si>
  <si>
    <t>總里程(公里)</t>
  </si>
  <si>
    <t>上升(公尺)</t>
  </si>
  <si>
    <t>下降(公尺)</t>
  </si>
  <si>
    <t>上河行走
時間參考</t>
  </si>
  <si>
    <r>
      <rPr>
        <rFont val="Arial"/>
        <b/>
        <color theme="1"/>
        <sz val="12.0"/>
      </rPr>
      <t xml:space="preserve">記錄者時間
</t>
    </r>
    <r>
      <rPr>
        <rFont val="Arial"/>
        <b/>
        <color rgb="FFFF0000"/>
        <sz val="12.0"/>
      </rPr>
      <t>新手請勿
拿來當參考</t>
    </r>
  </si>
  <si>
    <t>記錄者
速度指數</t>
  </si>
  <si>
    <t>記錄者
行進速度
指數</t>
  </si>
  <si>
    <t>詳細路線說明
(含軌跡檔)</t>
  </si>
  <si>
    <t>分 類</t>
  </si>
  <si>
    <t>上河步程整合</t>
  </si>
  <si>
    <t>石門山</t>
  </si>
  <si>
    <t>-</t>
  </si>
  <si>
    <t>合歡群峰</t>
  </si>
  <si>
    <t>合歡東峰</t>
  </si>
  <si>
    <t>合歡主峰</t>
  </si>
  <si>
    <t>關山嶺山</t>
  </si>
  <si>
    <t>南一段</t>
  </si>
  <si>
    <t>合歡北峰</t>
  </si>
  <si>
    <t>塔關山</t>
  </si>
  <si>
    <t>郡大山</t>
  </si>
  <si>
    <t>玉山國家公園</t>
  </si>
  <si>
    <t>需要</t>
  </si>
  <si>
    <t>庫哈諾辛山 7
塔關山 4.4
關山嶺山 3</t>
  </si>
  <si>
    <t>https://reurl.cc/x0NDEL</t>
  </si>
  <si>
    <t>玉山山脈</t>
  </si>
  <si>
    <t>Y</t>
  </si>
  <si>
    <t>庫哈諾辛山</t>
  </si>
  <si>
    <t>玉山前峰</t>
  </si>
  <si>
    <t>https://reurl.cc/NpzRze</t>
  </si>
  <si>
    <t>玉山群峰</t>
  </si>
  <si>
    <t>羊頭山</t>
  </si>
  <si>
    <t>太魯閣國家公園</t>
  </si>
  <si>
    <t>不需要</t>
  </si>
  <si>
    <t>https://reurl.cc/0o3RV6</t>
  </si>
  <si>
    <t>中橫四辣</t>
  </si>
  <si>
    <t>合歡五連峰O型</t>
  </si>
  <si>
    <t>https://reurl.cc/ErOXMa</t>
  </si>
  <si>
    <t>雪山東峰</t>
  </si>
  <si>
    <t>雪山山脈</t>
  </si>
  <si>
    <t>小關山</t>
  </si>
  <si>
    <t>https://reurl.cc/OXj73A</t>
  </si>
  <si>
    <t>合歡溪上合歡西</t>
  </si>
  <si>
    <t>https://reurl.cc/j15R7D</t>
  </si>
  <si>
    <t>關山</t>
  </si>
  <si>
    <t>https://reurl.cc/Gxe3ev</t>
  </si>
  <si>
    <t>合歡北西下華岡</t>
  </si>
  <si>
    <t>https://reurl.cc/0Xm8QK</t>
  </si>
  <si>
    <t>合歡北西</t>
  </si>
  <si>
    <t>合歡主峰 3.6
合歡東峰 2.1
合歡北峰 4</t>
  </si>
  <si>
    <t>https://reurl.cc/O1NN33</t>
  </si>
  <si>
    <t>西巒大山</t>
  </si>
  <si>
    <t>https://reurl.cc/b5o8XM</t>
  </si>
  <si>
    <t>屏風山</t>
  </si>
  <si>
    <t>雪霸國家公園</t>
  </si>
  <si>
    <t>https://reurl.cc/QjGMVM</t>
  </si>
  <si>
    <t>北三段、中橫四辣</t>
  </si>
  <si>
    <t>玉山西峰</t>
  </si>
  <si>
    <t>畢祿山</t>
  </si>
  <si>
    <t>https://reurl.cc/EpM2V0</t>
  </si>
  <si>
    <t>玉山主峰</t>
  </si>
  <si>
    <t>https://reurl.cc/j7NG2D</t>
  </si>
  <si>
    <t>台灣五嶽</t>
  </si>
  <si>
    <t>志佳陽大山</t>
  </si>
  <si>
    <t>23 (向陽來回)
26 (戒茂斯起登，向陽出)</t>
  </si>
  <si>
    <t>https://reurl.cc/m9b18Y</t>
  </si>
  <si>
    <t>武陵二秀(桃喀)</t>
  </si>
  <si>
    <t>https://reurl.cc/O1Ogk3</t>
  </si>
  <si>
    <t>武陵四秀</t>
  </si>
  <si>
    <t>將軍廟天巒池
合歡北西下華岡</t>
  </si>
  <si>
    <t>白姑大山</t>
  </si>
  <si>
    <t>屏東林管處</t>
  </si>
  <si>
    <t>https://reurl.cc/lVG1YE</t>
  </si>
  <si>
    <t>畢羊縱走</t>
  </si>
  <si>
    <t>https://reurl.cc/Wkp1G5</t>
  </si>
  <si>
    <t>武陵二秀(品池)</t>
  </si>
  <si>
    <t>https://reurl.cc/Kbgkem</t>
  </si>
  <si>
    <t>關山海諾南山</t>
  </si>
  <si>
    <t>https://reurl.cc/j7eOVL</t>
  </si>
  <si>
    <t>玉山前西峰</t>
  </si>
  <si>
    <t>奇萊主山東峰</t>
  </si>
  <si>
    <t>https://reurl.cc/E7yqR1</t>
  </si>
  <si>
    <t>北三段</t>
  </si>
  <si>
    <t>奇萊北壁下屏風</t>
  </si>
  <si>
    <t>https://reurl.cc/moRaZ9</t>
  </si>
  <si>
    <t>奇萊主北</t>
  </si>
  <si>
    <t>合歡東峰 2.1
合歡主峰 3.6
合歡北+西峰 13.4
石門山 1.6</t>
  </si>
  <si>
    <t>https://reurl.cc/xZn6ye</t>
  </si>
  <si>
    <t>玉山主東</t>
  </si>
  <si>
    <t>東埔順郡大西南稜上郡大下開高南稜</t>
  </si>
  <si>
    <t>https://reurl.cc/d0N128</t>
  </si>
  <si>
    <t>羊畢羊</t>
  </si>
  <si>
    <t>https://reurl.cc/KMXgKq</t>
  </si>
  <si>
    <t>北二段、中橫四辣</t>
  </si>
  <si>
    <t>雪山主東</t>
  </si>
  <si>
    <t>南投林管處</t>
  </si>
  <si>
    <t>https://reurl.cc/V6oY36</t>
  </si>
  <si>
    <t>雪山志佳陽</t>
  </si>
  <si>
    <t>開高西稜上郡大山</t>
  </si>
  <si>
    <t>https://reurl.cc/oLk6Gg</t>
  </si>
  <si>
    <t>北大武山</t>
  </si>
  <si>
    <t>花蓮林管處</t>
  </si>
  <si>
    <t>https://reurl.cc/qdjkWp</t>
  </si>
  <si>
    <t>玉山主西</t>
  </si>
  <si>
    <t>雪山北峰</t>
  </si>
  <si>
    <t>https://reurl.cc/Z7VnnW</t>
  </si>
  <si>
    <t>聖稜線</t>
  </si>
  <si>
    <t>屏風上奇萊北壁</t>
  </si>
  <si>
    <t>北西大武日湯真</t>
  </si>
  <si>
    <t>https://reurl.cc/D9adZQ</t>
  </si>
  <si>
    <t>中央山脈</t>
  </si>
  <si>
    <t>南橫二星</t>
  </si>
  <si>
    <t>https://reurl.cc/MZ33XX</t>
  </si>
  <si>
    <t>雪山東主北</t>
  </si>
  <si>
    <t>https://reurl.cc/n1go3v</t>
  </si>
  <si>
    <t>武陵三秀(無喀)</t>
  </si>
  <si>
    <t>https://reurl.cc/zMmNq0</t>
  </si>
  <si>
    <t>干卓萬山</t>
  </si>
  <si>
    <t>https://reurl.cc/m9r747</t>
  </si>
  <si>
    <t>干卓萬橫斷</t>
  </si>
  <si>
    <t>玉山主北</t>
  </si>
  <si>
    <t>南投/花蓮林管處</t>
  </si>
  <si>
    <t>https://reurl.cc/g7OQmR</t>
  </si>
  <si>
    <t>玉山主東北</t>
  </si>
  <si>
    <t>https://reurl.cc/g7OQQQ</t>
  </si>
  <si>
    <t>嘉明湖</t>
  </si>
  <si>
    <t>https://reurl.cc/kdKOad</t>
  </si>
  <si>
    <t>玉山北峰</t>
  </si>
  <si>
    <t>https://reurl.cc/OA9vz3</t>
  </si>
  <si>
    <t>雪山翠池</t>
  </si>
  <si>
    <t>https://reurl.cc/R4gAxe</t>
  </si>
  <si>
    <t>雪志馬武霸</t>
  </si>
  <si>
    <t>???</t>
  </si>
  <si>
    <t>https://reurl.cc/gm7nYN</t>
  </si>
  <si>
    <t>30-40</t>
  </si>
  <si>
    <t>∞</t>
  </si>
  <si>
    <t>https://reurl.cc/b5rQXr</t>
  </si>
  <si>
    <t>戒茂斯上嘉明湖</t>
  </si>
  <si>
    <t>13-14</t>
  </si>
  <si>
    <t>很久</t>
  </si>
  <si>
    <t>https://reurl.cc/Wdy5ZD</t>
  </si>
  <si>
    <t>尾上深堀</t>
  </si>
  <si>
    <t>https://reurl.cc/O4vaLA</t>
  </si>
  <si>
    <t>https://reurl.cc/Kk7nLg</t>
  </si>
  <si>
    <t>能高越嶺</t>
  </si>
  <si>
    <t>https://reurl.cc/Ld0GzK</t>
  </si>
  <si>
    <t>畢羊畢</t>
  </si>
  <si>
    <t>26:25</t>
  </si>
  <si>
    <t>https://reurl.cc/NR1ZKm</t>
  </si>
  <si>
    <t>南玉山</t>
  </si>
  <si>
    <t>https://reurl.cc/9E9Nm8</t>
  </si>
  <si>
    <t>卓社大山</t>
  </si>
  <si>
    <t>https://reurl.cc/rxeq6Z</t>
  </si>
  <si>
    <t>開高巷上郡大
下郡大南稜接對關O繞</t>
  </si>
  <si>
    <t>https://reurl.cc/oeO0Kg</t>
  </si>
  <si>
    <t>奇萊南華</t>
  </si>
  <si>
    <t>https://reurl.cc/VX4dr5</t>
  </si>
  <si>
    <t>玉山主東西前</t>
  </si>
  <si>
    <t>https://reurl.cc/lVOWrq</t>
  </si>
  <si>
    <t>鈴鳴閂山</t>
  </si>
  <si>
    <t>https://reurl.cc/D3nd4d</t>
  </si>
  <si>
    <t>北二段</t>
  </si>
  <si>
    <t>深堀山(奇萊主山南南峰)</t>
  </si>
  <si>
    <t>https://reurl.cc/AqlzkY</t>
  </si>
  <si>
    <t>屏風上奇萊北壁O型</t>
  </si>
  <si>
    <t>https://reurl.cc/GVnEQd</t>
  </si>
  <si>
    <t>奇萊連峰(順)</t>
  </si>
  <si>
    <t>https://reurl.cc/rxGykZ</t>
  </si>
  <si>
    <t>大劍山</t>
  </si>
  <si>
    <t>https://reurl.cc/WdKxpD</t>
  </si>
  <si>
    <t>O聖(逆)</t>
  </si>
  <si>
    <t>https://reurl.cc/7XK215</t>
  </si>
  <si>
    <t>磐石山</t>
  </si>
  <si>
    <t>太魯閣山列</t>
  </si>
  <si>
    <t>玉山前西主北</t>
  </si>
  <si>
    <t>奇萊連峰(逆)</t>
  </si>
  <si>
    <t>https://reurl.cc/b5rbod</t>
  </si>
  <si>
    <t>南湖西北稜</t>
  </si>
  <si>
    <t>https://reurl.cc/7DV7jk</t>
  </si>
  <si>
    <t>北一段</t>
  </si>
  <si>
    <t>雪劍</t>
  </si>
  <si>
    <t>https://reurl.cc/12Wo5p</t>
  </si>
  <si>
    <t>馬崙白姑(馬白縱走)</t>
  </si>
  <si>
    <t>https://reurl.cc/Y1Z42D</t>
  </si>
  <si>
    <t>尾上深堀奇萊南華</t>
  </si>
  <si>
    <t>https://reurl.cc/5p1LER</t>
  </si>
  <si>
    <t>治茆西巒縱走</t>
  </si>
  <si>
    <t>https://reurl.cc/Y6Mq8X</t>
  </si>
  <si>
    <t>再生山上能高山</t>
  </si>
  <si>
    <t>https://reurl.cc/9Ebp1n</t>
  </si>
  <si>
    <t>大霸北稜</t>
  </si>
  <si>
    <t>https://reurl.cc/QdvaWb</t>
  </si>
  <si>
    <t>卑南主山</t>
  </si>
  <si>
    <t>https://reurl.cc/NpLWjx</t>
  </si>
  <si>
    <t>鹿山</t>
  </si>
  <si>
    <t>屏風接奇萊連峰</t>
  </si>
  <si>
    <t>https://reurl.cc/1xKa1W</t>
  </si>
  <si>
    <t>畢祿鈴鳴縱走</t>
  </si>
  <si>
    <t>https://reurl.cc/Nj2GKk</t>
  </si>
  <si>
    <t>秀霸線</t>
  </si>
  <si>
    <t>https://reurl.cc/AqN3OZ</t>
  </si>
  <si>
    <t>楠梓仙溪上南玉山</t>
  </si>
  <si>
    <t>https://reurl.cc/zMmAda</t>
  </si>
  <si>
    <t>品田素密達塔克金溪</t>
  </si>
  <si>
    <t>https://reurl.cc/V4DpA5</t>
  </si>
  <si>
    <t>能高山</t>
  </si>
  <si>
    <t>https://reurl.cc/yZ0VAl</t>
  </si>
  <si>
    <t>劍雪</t>
  </si>
  <si>
    <t>https://reurl.cc/qOjmaN</t>
  </si>
  <si>
    <t>八通關上玉山</t>
  </si>
  <si>
    <t>https://reurl.cc/vDElmo</t>
  </si>
  <si>
    <t>八通關山</t>
  </si>
  <si>
    <t>https://reurl.cc/NjNAMk</t>
  </si>
  <si>
    <t>八大秀</t>
  </si>
  <si>
    <t>八通關上玉北</t>
  </si>
  <si>
    <t>https://reurl.cc/r8ZMD1</t>
  </si>
  <si>
    <t>八通關上玉北玉主</t>
  </si>
  <si>
    <t>https://reurl.cc/q8ZQ3y</t>
  </si>
  <si>
    <t>奇萊南華能高</t>
  </si>
  <si>
    <t>https://reurl.cc/0oeN6o</t>
  </si>
  <si>
    <t>奇萊東稜(不撿山頭)</t>
  </si>
  <si>
    <t>安東軍山</t>
  </si>
  <si>
    <t>玉山前五峰</t>
  </si>
  <si>
    <t>https://reurl.cc/6lbb8d</t>
  </si>
  <si>
    <t>郡大西巒</t>
  </si>
  <si>
    <t>https://reurl.cc/44qL3v</t>
  </si>
  <si>
    <t>南湖大山</t>
  </si>
  <si>
    <t>https://reurl.cc/EzVM6a</t>
  </si>
  <si>
    <t>南湖南峰下夫妻樹營地</t>
  </si>
  <si>
    <t>https://reurl.cc/Lm2MRe</t>
  </si>
  <si>
    <t>八通關上玉主玉前</t>
  </si>
  <si>
    <t>https://reurl.cc/2g8pbO</t>
  </si>
  <si>
    <t>陶塞峰</t>
  </si>
  <si>
    <t>https://reurl.cc/Rbr7LG</t>
  </si>
  <si>
    <t>玉山七峰</t>
  </si>
  <si>
    <t>https://reurl.cc/KbWdVg</t>
  </si>
  <si>
    <t>觀霧大霸出鎮西堡</t>
  </si>
  <si>
    <t>https://reurl.cc/odZKqM</t>
  </si>
  <si>
    <t>東霸尖山 (武陵進出)</t>
  </si>
  <si>
    <t>https://reurl.cc/1ZDXDY</t>
  </si>
  <si>
    <t>火石山</t>
  </si>
  <si>
    <t>https://reurl.cc/qdKXER</t>
  </si>
  <si>
    <t>雪山西稜</t>
  </si>
  <si>
    <t>大霸北稜出觀霧</t>
  </si>
  <si>
    <t>https://reurl.cc/VXRmQY</t>
  </si>
  <si>
    <t>Q聖(逆)</t>
  </si>
  <si>
    <t>https://reurl.cc/O1lA27</t>
  </si>
  <si>
    <t>聖稜線、武陵四秀</t>
  </si>
  <si>
    <t>Q聖(順)</t>
  </si>
  <si>
    <t>https://reurl.cc/d03NA2</t>
  </si>
  <si>
    <t>八通關玉山往返</t>
  </si>
  <si>
    <t>https://reurl.cc/2gWYy9</t>
  </si>
  <si>
    <t>北大武山X2</t>
  </si>
  <si>
    <t>https://reurl.cc/E7M46k</t>
  </si>
  <si>
    <t>志雪劍</t>
  </si>
  <si>
    <t>https://reurl.cc/yeWpAy</t>
  </si>
  <si>
    <t>中雪山</t>
  </si>
  <si>
    <t>布拉克桑山</t>
  </si>
  <si>
    <t>https://reurl.cc/GrpkZy</t>
  </si>
  <si>
    <t>中央尖山</t>
  </si>
  <si>
    <t>https://reurl.cc/O125AD</t>
  </si>
  <si>
    <t>劍聖</t>
  </si>
  <si>
    <t>https://reurl.cc/eOD487</t>
  </si>
  <si>
    <t>大小劍</t>
  </si>
  <si>
    <t>https://reurl.cc/0onAr9</t>
  </si>
  <si>
    <t>大霸群峰</t>
  </si>
  <si>
    <t>https://reurl.cc/Qdg1V2</t>
  </si>
  <si>
    <t>劍雪志</t>
  </si>
  <si>
    <t>https://reurl.cc/EzgXqm</t>
  </si>
  <si>
    <t>https://reurl.cc/YWN9qL</t>
  </si>
  <si>
    <t>奇萊東稜</t>
  </si>
  <si>
    <t>玉山後四峰</t>
  </si>
  <si>
    <t>https://reurl.cc/ZAD4nl</t>
  </si>
  <si>
    <t>秀姑巒山</t>
  </si>
  <si>
    <t>https://reurl.cc/A7M6pY</t>
  </si>
  <si>
    <t>新康橫斷出瓦拉米</t>
  </si>
  <si>
    <t>https://reurl.cc/q1ax6E</t>
  </si>
  <si>
    <t>新康橫斷</t>
  </si>
  <si>
    <t>I聖</t>
  </si>
  <si>
    <t>https://reurl.cc/V69L1Q</t>
  </si>
  <si>
    <t>馬比杉山</t>
  </si>
  <si>
    <t>https://reurl.cc/exgjnQ</t>
  </si>
  <si>
    <t>郡大上盆駒</t>
  </si>
  <si>
    <t>https://reurl.cc/EpO1p1</t>
  </si>
  <si>
    <t>玉山8峰(沒去南玉山)</t>
  </si>
  <si>
    <t>南湖群峰(5座)</t>
  </si>
  <si>
    <t>https://reurl.cc/o1vgeV</t>
  </si>
  <si>
    <t>能高安東軍(順)</t>
  </si>
  <si>
    <t>https://reurl.cc/Y6pGkO</t>
  </si>
  <si>
    <t>八通關秀姑巒</t>
  </si>
  <si>
    <t>https://reurl.cc/b5NaGv</t>
  </si>
  <si>
    <t>東霸尖山 (觀霧進出)</t>
  </si>
  <si>
    <t>https://reurl.cc/kLeYWG</t>
  </si>
  <si>
    <t>南湖群峰(7座)</t>
  </si>
  <si>
    <t>https://reurl.cc/ZAEj3a</t>
  </si>
  <si>
    <t>雪山西稜(頭鷹山)</t>
  </si>
  <si>
    <t>能高安東軍(逆)</t>
  </si>
  <si>
    <t>https://reurl.cc/Z75EK3</t>
  </si>
  <si>
    <t>中央尖南湖圈谷(逆)O縱</t>
  </si>
  <si>
    <t>https://reurl.cc/KQeLD9</t>
  </si>
  <si>
    <t>東埔龍貓公車
盆馬秀</t>
  </si>
  <si>
    <t>https://reurl.cc/DX4pjN</t>
  </si>
  <si>
    <t>東埔龍貓公車
盆駒山馬博拉斯山O縱</t>
  </si>
  <si>
    <t>https://reurl.cc/5pNyDG</t>
  </si>
  <si>
    <t>https://reurl.cc/vDXN5o</t>
  </si>
  <si>
    <t>馬博拉斯山</t>
  </si>
  <si>
    <t>https://reurl.cc/py6vNQ</t>
  </si>
  <si>
    <t>馬博橫斷</t>
  </si>
  <si>
    <t>穆特勒布山(觀霧進)</t>
  </si>
  <si>
    <t>https://reurl.cc/8pWqvo</t>
  </si>
  <si>
    <t>北面山上達芬尖山</t>
  </si>
  <si>
    <t>https://reurl.cc/xpO3dE</t>
  </si>
  <si>
    <t>達芬尖山</t>
  </si>
  <si>
    <t>https://reurl.cc/KxaVDj</t>
  </si>
  <si>
    <t>南二段</t>
  </si>
  <si>
    <t>北一北二O縱</t>
  </si>
  <si>
    <t>https://reurl.cc/GrXmqp</t>
  </si>
  <si>
    <t>北一段、北二段</t>
  </si>
  <si>
    <t>https://reurl.cc/bD0aXy</t>
  </si>
  <si>
    <t>https://reurl.cc/pM8oV4</t>
  </si>
  <si>
    <t>北一段
(南湖群峰、中央尖)</t>
  </si>
  <si>
    <t>https://reurl.cc/MRajDm</t>
  </si>
  <si>
    <t>馬博拉斯橫斷(改)</t>
  </si>
  <si>
    <t>https://reurl.cc/YepOVX</t>
  </si>
  <si>
    <t>丹大七彩六順萬榮</t>
  </si>
  <si>
    <t>https://reurl.cc/3OqYrj</t>
  </si>
  <si>
    <t>馬博拉斯橫斷</t>
  </si>
  <si>
    <t>八通關古道(日)</t>
  </si>
  <si>
    <t>北大武山X3</t>
  </si>
  <si>
    <t>https://reurl.cc/yMOQDq</t>
  </si>
  <si>
    <t>六順山七彩湖</t>
  </si>
  <si>
    <t>https://reurl.cc/OXenbX</t>
  </si>
  <si>
    <t>南二段(沒去雲峰)</t>
  </si>
  <si>
    <t>https://reurl.cc/d0Ejy6</t>
  </si>
  <si>
    <t>南二段(逆走)</t>
  </si>
  <si>
    <t>https://reurl.cc/lDARel</t>
  </si>
  <si>
    <t>能高安東軍O繞</t>
  </si>
  <si>
    <t>https://reurl.cc/0XZQAK</t>
  </si>
  <si>
    <t>台灣高山單攻FKT
單一特定路線已知最快時間記錄</t>
  </si>
  <si>
    <t>分類</t>
  </si>
  <si>
    <t>FKT 
最快時間</t>
  </si>
  <si>
    <t>起始點</t>
  </si>
  <si>
    <t>紀錄保持者</t>
  </si>
  <si>
    <t>年份</t>
  </si>
  <si>
    <t>連結</t>
  </si>
  <si>
    <t>奇萊登山口</t>
  </si>
  <si>
    <t>邱文孝</t>
  </si>
  <si>
    <t>https://reurl.cc/mooXVV</t>
  </si>
  <si>
    <t>向陽遊樂區</t>
  </si>
  <si>
    <t>Petr Novotny</t>
  </si>
  <si>
    <t>https://reurl.cc/x99XMZ</t>
  </si>
  <si>
    <t>屯原登山口</t>
  </si>
  <si>
    <t>111.2K處</t>
  </si>
  <si>
    <t xml:space="preserve">柳諭傑 </t>
  </si>
  <si>
    <t>https://reurl.cc/zZZXLQ</t>
  </si>
  <si>
    <t>畢祿登山口</t>
  </si>
  <si>
    <t>鐵網登山口</t>
  </si>
  <si>
    <t>https://reurl.cc/A77D5E</t>
  </si>
  <si>
    <t>玉山</t>
  </si>
  <si>
    <t>東埔停車場</t>
  </si>
  <si>
    <t>吳有家</t>
  </si>
  <si>
    <t>https://reurl.cc/WrrYbL</t>
  </si>
  <si>
    <t>雪山</t>
  </si>
  <si>
    <t>大水池登山口</t>
  </si>
  <si>
    <t>江晏慶</t>
  </si>
  <si>
    <t>https://reurl.cc/WrrWj5</t>
  </si>
  <si>
    <t>新登山口</t>
  </si>
  <si>
    <t>周青</t>
  </si>
  <si>
    <t>https://reurl.cc/3oyZGR</t>
  </si>
  <si>
    <t>勝光登山口</t>
  </si>
  <si>
    <t>柳諭傑</t>
  </si>
  <si>
    <t>東埔登山口</t>
  </si>
  <si>
    <t>許武祥</t>
  </si>
  <si>
    <t>https://reurl.cc/2ZmGea</t>
  </si>
  <si>
    <t>高山活動具一定風險，請選擇合乎自己能力範圍的路線，
做好功課、齊全裝備、擬訂計畫、落實折返時間，自己的安全自己負責。</t>
  </si>
  <si>
    <t>入山證、入園證、山屋/營地申請連結資訊</t>
  </si>
  <si>
    <t>1. 嘉明湖國家公園 - 向陽山屋/營位 申請連結</t>
  </si>
  <si>
    <t>2. 雪霸、太魯閣、玉山國家公園 - 山屋/營位 申請連結</t>
  </si>
  <si>
    <t>3. 北大武 - 檜谷山莊 - 山屋/營位 申請連結</t>
  </si>
  <si>
    <t>4. 入山證 申請連結</t>
  </si>
  <si>
    <t>5. 奇萊南華 - 天池山莊 - 山屋/營位 申請連結</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</si>
</sst>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quot; &quot;hh&quot;:&quot;mm&quot;&quot;"/>
    <numFmt numFmtId="166" formatCode="m-d"/>
    <numFmt numFmtId="167" formatCode="[h]:mm"/>
    <numFmt numFmtId="168" formatCode="&quot; &quot;hh&quot;:&quot;mm&quot;:&quot;ss&quot;&quot;"/>
  </numFmts>
  <fonts count="41">
    <font>
      <sz val="10.0"/>
      <color rgb="FF000000"/>
      <name val="Arial"/>
      <scheme val="minor"/>
    </font>
    <font>
      <b/>
      <sz val="14.0"/>
      <color rgb="FFFFFFFF"/>
      <name val="Arial"/>
      <scheme val="minor"/>
    </font>
    <font/>
    <font>
      <sz val="12.0"/>
      <color theme="1"/>
      <name val="Arial"/>
      <scheme val="minor"/>
    </font>
    <font>
      <b/>
      <sz val="12.0"/>
      <color theme="1"/>
      <name val="Arial"/>
      <scheme val="minor"/>
    </font>
    <font>
      <b/>
      <sz val="12.0"/>
      <color rgb="FFFF0000"/>
      <name val="Arial"/>
      <scheme val="minor"/>
    </font>
    <font>
      <b/>
      <sz val="12.0"/>
      <color rgb="FF000000"/>
      <name val="Arial"/>
      <scheme val="minor"/>
    </font>
    <font>
      <b/>
      <sz val="12.0"/>
      <color rgb="FFFFFF00"/>
      <name val="Arial"/>
      <scheme val="minor"/>
    </font>
    <font>
      <b/>
      <sz val="24.0"/>
      <color rgb="FFFFFF00"/>
      <name val="Arial"/>
      <scheme val="minor"/>
    </font>
    <font>
      <b/>
      <sz val="12.0"/>
      <color rgb="FFFFFFFF"/>
      <name val="Arial"/>
      <scheme val="minor"/>
    </font>
    <font>
      <b/>
      <i/>
      <sz val="12.0"/>
      <color theme="1"/>
      <name val="Arial"/>
      <scheme val="minor"/>
    </font>
    <font>
      <b/>
      <sz val="12.0"/>
      <color rgb="FF1155CC"/>
    </font>
    <font>
      <b/>
      <sz val="12.0"/>
      <color theme="1"/>
      <name val="Arial"/>
    </font>
    <font>
      <b/>
      <u/>
      <sz val="12.0"/>
      <color rgb="FF1155CC"/>
      <name val="Arial"/>
    </font>
    <font>
      <b/>
      <sz val="36.0"/>
      <color theme="1"/>
      <name val="Arial"/>
      <scheme val="minor"/>
    </font>
    <font>
      <b/>
      <sz val="14.0"/>
      <color theme="1"/>
      <name val="Arial"/>
      <scheme val="minor"/>
    </font>
    <font>
      <sz val="12.0"/>
      <color rgb="FF000000"/>
      <name val="Arial"/>
      <scheme val="minor"/>
    </font>
    <font>
      <u/>
      <sz val="12.0"/>
      <color rgb="FF0000FF"/>
    </font>
    <font>
      <u/>
      <sz val="12.0"/>
      <color rgb="FF1155CC"/>
    </font>
    <font>
      <u/>
      <sz val="12.0"/>
      <color rgb="FF1155CC"/>
    </font>
    <font>
      <u/>
      <sz val="12.0"/>
      <color rgb="FF0000FF"/>
    </font>
    <font>
      <u/>
      <sz val="12.0"/>
      <color rgb="FF0000FF"/>
    </font>
    <font>
      <sz val="12.0"/>
      <color rgb="FF000000"/>
      <name val="Arial"/>
    </font>
    <font>
      <u/>
      <sz val="12.0"/>
      <color rgb="FF0000FF"/>
    </font>
    <font>
      <u/>
      <sz val="12.0"/>
      <color rgb="FF0000FF"/>
    </font>
    <font>
      <u/>
      <sz val="12.0"/>
      <color rgb="FF1155CC"/>
    </font>
    <font>
      <u/>
      <sz val="12.0"/>
      <color rgb="FF0000FF"/>
    </font>
    <font>
      <u/>
      <sz val="12.0"/>
      <color rgb="FF0000FF"/>
    </font>
    <font>
      <u/>
      <sz val="12.0"/>
      <color rgb="FF1155CC"/>
    </font>
    <font>
      <sz val="12.0"/>
      <color rgb="FFFFFF00"/>
      <name val="Arial"/>
      <scheme val="minor"/>
    </font>
    <font>
      <u/>
      <sz val="12.0"/>
      <color rgb="FF0000FF"/>
    </font>
    <font>
      <u/>
      <sz val="12.0"/>
      <color rgb="FF1155CC"/>
    </font>
    <font>
      <u/>
      <sz val="12.0"/>
      <color rgb="FF0000FF"/>
    </font>
    <font>
      <sz val="12.0"/>
      <color rgb="FFFF0000"/>
      <name val="Arial"/>
      <scheme val="minor"/>
    </font>
    <font>
      <u/>
      <sz val="12.0"/>
      <color rgb="FF0000FF"/>
    </font>
    <font>
      <u/>
      <sz val="12.0"/>
      <color rgb="FF0000FF"/>
    </font>
    <font>
      <u/>
      <sz val="12.0"/>
      <color rgb="FF0000FF"/>
    </font>
    <font>
      <u/>
      <sz val="12.0"/>
      <color rgb="FF1155CC"/>
    </font>
    <font>
      <sz val="18.0"/>
      <color theme="1"/>
      <name val="Arial"/>
    </font>
    <font>
      <u/>
      <sz val="14.0"/>
      <color rgb="FF1155CC"/>
      <name val="Arial"/>
    </font>
    <font>
      <u/>
      <sz val="14.0"/>
      <color rgb="FF1155CC"/>
      <name val="Arial"/>
    </font>
  </fonts>
  <fills count="17">
    <fill>
      <patternFill patternType="none"/>
    </fill>
    <fill>
      <patternFill patternType="lightGray"/>
    </fill>
    <fill>
      <patternFill patternType="solid">
        <fgColor rgb="FFCC0000"/>
        <bgColor rgb="FFCC0000"/>
      </patternFill>
    </fill>
    <fill>
      <patternFill patternType="solid">
        <fgColor rgb="FF6AA84F"/>
        <bgColor rgb="FF6AA84F"/>
      </patternFill>
    </fill>
    <fill>
      <patternFill patternType="solid">
        <fgColor rgb="FFFFF2CC"/>
        <bgColor rgb="FFFFF2CC"/>
      </patternFill>
    </fill>
    <fill>
      <patternFill patternType="solid">
        <fgColor rgb="FFE6B8AF"/>
        <bgColor rgb="FFE6B8AF"/>
      </patternFill>
    </fill>
    <fill>
      <patternFill patternType="solid">
        <fgColor rgb="FFB7E1CD"/>
        <bgColor rgb="FFB7E1CD"/>
      </patternFill>
    </fill>
    <fill>
      <patternFill patternType="solid">
        <fgColor rgb="FF00FFFF"/>
        <bgColor rgb="FF00FFFF"/>
      </patternFill>
    </fill>
    <fill>
      <patternFill patternType="solid">
        <fgColor rgb="FFD9D2E9"/>
        <bgColor rgb="FFD9D2E9"/>
      </patternFill>
    </fill>
    <fill>
      <patternFill patternType="solid">
        <fgColor rgb="FFFF0000"/>
        <bgColor rgb="FFFF0000"/>
      </patternFill>
    </fill>
    <fill>
      <patternFill patternType="solid">
        <fgColor rgb="FF666666"/>
        <bgColor rgb="FF666666"/>
      </patternFill>
    </fill>
    <fill>
      <patternFill patternType="solid">
        <fgColor theme="6"/>
        <bgColor theme="6"/>
      </patternFill>
    </fill>
    <fill>
      <patternFill patternType="solid">
        <fgColor rgb="FFCFE2F3"/>
        <bgColor rgb="FFCFE2F3"/>
      </patternFill>
    </fill>
    <fill>
      <patternFill patternType="solid">
        <fgColor rgb="FFFCE5CD"/>
        <bgColor rgb="FFFCE5CD"/>
      </patternFill>
    </fill>
    <fill>
      <patternFill patternType="solid">
        <fgColor rgb="FFD9EAD3"/>
        <bgColor rgb="FFD9EAD3"/>
      </patternFill>
    </fill>
    <fill>
      <patternFill patternType="solid">
        <fgColor rgb="FFFFFF00"/>
        <bgColor rgb="FFFFFF00"/>
      </patternFill>
    </fill>
    <fill>
      <patternFill patternType="solid">
        <fgColor rgb="FFFFFFFF"/>
        <bgColor rgb="FFFFFFFF"/>
      </patternFill>
    </fill>
  </fills>
  <borders count="17">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FFFFFF"/>
      </left>
      <top style="thin">
        <color rgb="FFFFFFFF"/>
      </top>
    </border>
    <border>
      <top style="thin">
        <color rgb="FFFFFFFF"/>
      </top>
    </border>
    <border>
      <right style="thin">
        <color rgb="FFFFFFFF"/>
      </right>
      <top style="thin">
        <color rgb="FFFFFFFF"/>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3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0" fillId="0" fontId="3" numFmtId="0" xfId="0" applyAlignment="1" applyFont="1">
      <alignment vertical="center"/>
    </xf>
    <xf borderId="4" fillId="3" fontId="4" numFmtId="0" xfId="0" applyAlignment="1" applyBorder="1" applyFill="1" applyFont="1">
      <alignment horizontal="center" readingOrder="0" vertical="center"/>
    </xf>
    <xf borderId="5" fillId="4" fontId="4" numFmtId="0" xfId="0" applyAlignment="1" applyBorder="1" applyFill="1" applyFont="1">
      <alignment readingOrder="0" shrinkToFit="0" vertical="center" wrapText="1"/>
    </xf>
    <xf borderId="6" fillId="0" fontId="2" numFmtId="0" xfId="0" applyBorder="1" applyFont="1"/>
    <xf borderId="7" fillId="0" fontId="2" numFmtId="0" xfId="0" applyBorder="1" applyFont="1"/>
    <xf borderId="5" fillId="4" fontId="5" numFmtId="0" xfId="0" applyAlignment="1" applyBorder="1" applyFont="1">
      <alignment readingOrder="0" shrinkToFit="0" vertical="center" wrapText="1"/>
    </xf>
    <xf borderId="0" fillId="0" fontId="3" numFmtId="0" xfId="0" applyAlignment="1" applyFont="1">
      <alignment horizontal="center" vertical="center"/>
    </xf>
    <xf borderId="4" fillId="5" fontId="4" numFmtId="0" xfId="0" applyAlignment="1" applyBorder="1" applyFill="1" applyFont="1">
      <alignment horizontal="center" readingOrder="0" shrinkToFit="0" vertical="center" wrapText="1"/>
    </xf>
    <xf borderId="5" fillId="5" fontId="4" numFmtId="0" xfId="0" applyAlignment="1" applyBorder="1" applyFont="1">
      <alignment horizontal="left" readingOrder="0" shrinkToFit="0" vertical="center" wrapText="1"/>
    </xf>
    <xf borderId="4" fillId="6" fontId="4" numFmtId="0" xfId="0" applyAlignment="1" applyBorder="1" applyFill="1" applyFont="1">
      <alignment horizontal="center" readingOrder="0" shrinkToFit="0" vertical="center" wrapText="1"/>
    </xf>
    <xf borderId="5" fillId="6" fontId="4" numFmtId="0" xfId="0" applyAlignment="1" applyBorder="1" applyFont="1">
      <alignment horizontal="left" readingOrder="0" shrinkToFit="0" vertical="center" wrapText="1"/>
    </xf>
    <xf borderId="4" fillId="7" fontId="4" numFmtId="0" xfId="0" applyAlignment="1" applyBorder="1" applyFill="1" applyFont="1">
      <alignment horizontal="center" readingOrder="0" shrinkToFit="0" vertical="center" wrapText="1"/>
    </xf>
    <xf borderId="5" fillId="7" fontId="4" numFmtId="0" xfId="0" applyAlignment="1" applyBorder="1" applyFont="1">
      <alignment horizontal="left" readingOrder="0" shrinkToFit="0" vertical="center" wrapText="1"/>
    </xf>
    <xf borderId="4" fillId="8" fontId="6" numFmtId="0" xfId="0" applyAlignment="1" applyBorder="1" applyFill="1" applyFont="1">
      <alignment horizontal="center" readingOrder="0" shrinkToFit="0" vertical="center" wrapText="1"/>
    </xf>
    <xf borderId="5" fillId="8" fontId="6" numFmtId="0" xfId="0" applyAlignment="1" applyBorder="1" applyFont="1">
      <alignment horizontal="left" readingOrder="0" shrinkToFit="0" vertical="center" wrapText="1"/>
    </xf>
    <xf borderId="4" fillId="9" fontId="7" numFmtId="0" xfId="0" applyAlignment="1" applyBorder="1" applyFill="1" applyFont="1">
      <alignment horizontal="center" readingOrder="0" shrinkToFit="0" vertical="center" wrapText="1"/>
    </xf>
    <xf borderId="5" fillId="9" fontId="8" numFmtId="0" xfId="0" applyAlignment="1" applyBorder="1" applyFont="1">
      <alignment horizontal="center" readingOrder="0" shrinkToFit="0" vertical="center" wrapText="1"/>
    </xf>
    <xf borderId="4" fillId="10" fontId="9" numFmtId="0" xfId="0" applyAlignment="1" applyBorder="1" applyFill="1" applyFont="1">
      <alignment horizontal="center" readingOrder="0" vertical="center"/>
    </xf>
    <xf borderId="5" fillId="10" fontId="9" numFmtId="0" xfId="0" applyAlignment="1" applyBorder="1" applyFont="1">
      <alignment horizontal="center" readingOrder="0" shrinkToFit="0" vertical="center" wrapText="1"/>
    </xf>
    <xf borderId="4" fillId="3" fontId="10" numFmtId="0" xfId="0" applyAlignment="1" applyBorder="1" applyFont="1">
      <alignment horizontal="center" readingOrder="0" shrinkToFit="0" vertical="center" wrapText="1"/>
    </xf>
    <xf borderId="5" fillId="4" fontId="6" numFmtId="0" xfId="0" applyAlignment="1" applyBorder="1" applyFont="1">
      <alignment readingOrder="0" shrinkToFit="0" vertical="center" wrapText="1"/>
    </xf>
    <xf borderId="4" fillId="3" fontId="4" numFmtId="0" xfId="0" applyAlignment="1" applyBorder="1" applyFont="1">
      <alignment horizontal="center" readingOrder="0" shrinkToFit="0" vertical="center" wrapText="1"/>
    </xf>
    <xf borderId="5" fillId="4" fontId="11" numFmtId="0" xfId="0" applyAlignment="1" applyBorder="1" applyFont="1">
      <alignment horizontal="center" readingOrder="0" shrinkToFit="0" vertical="center" wrapText="1"/>
    </xf>
    <xf borderId="4" fillId="3" fontId="12" numFmtId="0" xfId="0" applyAlignment="1" applyBorder="1" applyFont="1">
      <alignment horizontal="center" shrinkToFit="0" wrapText="1"/>
    </xf>
    <xf borderId="5" fillId="4" fontId="13" numFmtId="0" xfId="0" applyAlignment="1" applyBorder="1" applyFont="1">
      <alignment horizontal="center" shrinkToFit="0" wrapText="1"/>
    </xf>
    <xf borderId="0" fillId="11" fontId="14" numFmtId="0" xfId="0" applyAlignment="1" applyFill="1" applyFont="1">
      <alignment horizontal="center" readingOrder="0" shrinkToFit="0" vertical="center" wrapText="1"/>
    </xf>
    <xf borderId="0" fillId="11" fontId="15" numFmtId="0" xfId="0" applyAlignment="1" applyFont="1">
      <alignment horizontal="center" readingOrder="0" shrinkToFit="0" vertical="center" wrapText="1"/>
    </xf>
    <xf borderId="4" fillId="4" fontId="4" numFmtId="0" xfId="0" applyAlignment="1" applyBorder="1" applyFont="1">
      <alignment horizontal="center" readingOrder="0" shrinkToFit="0" vertical="center" wrapText="1"/>
    </xf>
    <xf borderId="0" fillId="0" fontId="3" numFmtId="0" xfId="0" applyFont="1"/>
    <xf borderId="4" fillId="5" fontId="3" numFmtId="0" xfId="0" applyAlignment="1" applyBorder="1" applyFont="1">
      <alignment horizontal="center" readingOrder="0" shrinkToFit="0" vertical="center" wrapText="1"/>
    </xf>
    <xf borderId="4" fillId="5" fontId="3" numFmtId="1" xfId="0" applyAlignment="1" applyBorder="1" applyFont="1" applyNumberFormat="1">
      <alignment horizontal="center" readingOrder="0" shrinkToFit="0" vertical="center" wrapText="1"/>
    </xf>
    <xf borderId="4" fillId="5" fontId="3" numFmtId="164" xfId="0" applyAlignment="1" applyBorder="1" applyFont="1" applyNumberFormat="1">
      <alignment horizontal="center" readingOrder="0" shrinkToFit="0" vertical="center" wrapText="1"/>
    </xf>
    <xf borderId="4" fillId="5" fontId="3" numFmtId="165" xfId="0" applyAlignment="1" applyBorder="1" applyFont="1" applyNumberFormat="1">
      <alignment horizontal="center" readingOrder="0" shrinkToFit="0" vertical="center" wrapText="1"/>
    </xf>
    <xf borderId="4" fillId="5" fontId="3" numFmtId="165" xfId="0" applyAlignment="1" applyBorder="1" applyFont="1" applyNumberFormat="1">
      <alignment horizontal="center" readingOrder="0" shrinkToFit="0" vertical="center" wrapText="1"/>
    </xf>
    <xf borderId="4" fillId="5" fontId="16" numFmtId="0" xfId="0" applyAlignment="1" applyBorder="1" applyFont="1">
      <alignment horizontal="center" readingOrder="0" shrinkToFit="0" vertical="center" wrapText="1"/>
    </xf>
    <xf borderId="4" fillId="5" fontId="17" numFmtId="0" xfId="0" applyAlignment="1" applyBorder="1" applyFont="1">
      <alignment horizontal="center" readingOrder="0" shrinkToFit="0" vertical="center" wrapText="1"/>
    </xf>
    <xf borderId="4" fillId="5" fontId="18" numFmtId="0" xfId="0" applyAlignment="1" applyBorder="1" applyFont="1">
      <alignment horizontal="center" readingOrder="0" shrinkToFit="0" vertical="center" wrapText="1"/>
    </xf>
    <xf borderId="4" fillId="5" fontId="3" numFmtId="20" xfId="0" applyAlignment="1" applyBorder="1" applyFont="1" applyNumberFormat="1">
      <alignment horizontal="center" readingOrder="0" shrinkToFit="0" vertical="center" wrapText="1"/>
    </xf>
    <xf borderId="4" fillId="6" fontId="3" numFmtId="0" xfId="0" applyAlignment="1" applyBorder="1" applyFont="1">
      <alignment horizontal="center" readingOrder="0" shrinkToFit="0" vertical="center" wrapText="1"/>
    </xf>
    <xf borderId="4" fillId="6" fontId="3" numFmtId="1" xfId="0" applyAlignment="1" applyBorder="1" applyFont="1" applyNumberFormat="1">
      <alignment horizontal="center" readingOrder="0" shrinkToFit="0" vertical="center" wrapText="1"/>
    </xf>
    <xf borderId="4" fillId="6" fontId="3" numFmtId="166" xfId="0" applyAlignment="1" applyBorder="1" applyFont="1" applyNumberFormat="1">
      <alignment horizontal="center" readingOrder="0" shrinkToFit="0" vertical="center" wrapText="1"/>
    </xf>
    <xf borderId="4" fillId="6" fontId="3" numFmtId="164" xfId="0" applyAlignment="1" applyBorder="1" applyFont="1" applyNumberFormat="1">
      <alignment horizontal="center" readingOrder="0" shrinkToFit="0" vertical="center" wrapText="1"/>
    </xf>
    <xf borderId="4" fillId="6" fontId="3" numFmtId="165" xfId="0" applyAlignment="1" applyBorder="1" applyFont="1" applyNumberFormat="1">
      <alignment horizontal="center" readingOrder="0" shrinkToFit="0" vertical="center" wrapText="1"/>
    </xf>
    <xf borderId="4" fillId="6" fontId="3" numFmtId="165" xfId="0" applyAlignment="1" applyBorder="1" applyFont="1" applyNumberFormat="1">
      <alignment horizontal="center" readingOrder="0" shrinkToFit="0" vertical="center" wrapText="1"/>
    </xf>
    <xf borderId="4" fillId="6" fontId="19" numFmtId="0" xfId="0" applyAlignment="1" applyBorder="1" applyFont="1">
      <alignment horizontal="center" readingOrder="0" shrinkToFit="0" vertical="center" wrapText="1"/>
    </xf>
    <xf borderId="4" fillId="6" fontId="16" numFmtId="0" xfId="0" applyAlignment="1" applyBorder="1" applyFont="1">
      <alignment horizontal="center" readingOrder="0" shrinkToFit="0" vertical="center" wrapText="1"/>
    </xf>
    <xf borderId="4" fillId="6" fontId="3" numFmtId="20" xfId="0" applyAlignment="1" applyBorder="1" applyFont="1" applyNumberFormat="1">
      <alignment horizontal="center" readingOrder="0" shrinkToFit="0" vertical="center" wrapText="1"/>
    </xf>
    <xf borderId="4" fillId="6" fontId="20" numFmtId="0" xfId="0" applyAlignment="1" applyBorder="1" applyFont="1">
      <alignment horizontal="center" readingOrder="0" shrinkToFit="0" vertical="center" wrapText="1"/>
    </xf>
    <xf borderId="4" fillId="6" fontId="21" numFmtId="0" xfId="0" applyAlignment="1" applyBorder="1" applyFont="1">
      <alignment horizontal="center" readingOrder="0" shrinkToFit="0" vertical="center" wrapText="1"/>
    </xf>
    <xf borderId="4" fillId="6" fontId="22" numFmtId="20" xfId="0" applyAlignment="1" applyBorder="1" applyFont="1" applyNumberFormat="1">
      <alignment horizontal="center" readingOrder="0"/>
    </xf>
    <xf borderId="4" fillId="7" fontId="3" numFmtId="0" xfId="0" applyAlignment="1" applyBorder="1" applyFont="1">
      <alignment horizontal="center" readingOrder="0" shrinkToFit="0" vertical="center" wrapText="1"/>
    </xf>
    <xf borderId="4" fillId="7" fontId="3" numFmtId="1" xfId="0" applyAlignment="1" applyBorder="1" applyFont="1" applyNumberFormat="1">
      <alignment horizontal="center" readingOrder="0" shrinkToFit="0" vertical="center" wrapText="1"/>
    </xf>
    <xf borderId="4" fillId="7" fontId="3" numFmtId="164" xfId="0" applyAlignment="1" applyBorder="1" applyFont="1" applyNumberFormat="1">
      <alignment horizontal="center" readingOrder="0" shrinkToFit="0" vertical="center" wrapText="1"/>
    </xf>
    <xf borderId="4" fillId="7" fontId="3" numFmtId="165" xfId="0" applyAlignment="1" applyBorder="1" applyFont="1" applyNumberFormat="1">
      <alignment horizontal="center" readingOrder="0" shrinkToFit="0" vertical="center" wrapText="1"/>
    </xf>
    <xf borderId="4" fillId="7" fontId="3" numFmtId="165" xfId="0" applyAlignment="1" applyBorder="1" applyFont="1" applyNumberFormat="1">
      <alignment horizontal="center" readingOrder="0" shrinkToFit="0" vertical="center" wrapText="1"/>
    </xf>
    <xf borderId="4" fillId="7" fontId="23" numFmtId="0" xfId="0" applyAlignment="1" applyBorder="1" applyFont="1">
      <alignment horizontal="center" readingOrder="0" shrinkToFit="0" vertical="center" wrapText="1"/>
    </xf>
    <xf borderId="4" fillId="7" fontId="16" numFmtId="0" xfId="0" applyAlignment="1" applyBorder="1" applyFont="1">
      <alignment horizontal="center" readingOrder="0" shrinkToFit="0" vertical="center" wrapText="1"/>
    </xf>
    <xf borderId="4" fillId="7" fontId="3" numFmtId="20" xfId="0" applyAlignment="1" applyBorder="1" applyFont="1" applyNumberFormat="1">
      <alignment horizontal="center" readingOrder="0" shrinkToFit="0" vertical="center" wrapText="1"/>
    </xf>
    <xf borderId="4" fillId="7" fontId="24" numFmtId="0" xfId="0" applyAlignment="1" applyBorder="1" applyFont="1">
      <alignment horizontal="center" readingOrder="0" shrinkToFit="0" vertical="center" wrapText="1"/>
    </xf>
    <xf borderId="4" fillId="7" fontId="3" numFmtId="49" xfId="0" applyAlignment="1" applyBorder="1" applyFont="1" applyNumberFormat="1">
      <alignment horizontal="center" readingOrder="0" shrinkToFit="0" vertical="center" wrapText="1"/>
    </xf>
    <xf borderId="4" fillId="7" fontId="3" numFmtId="167" xfId="0" applyAlignment="1" applyBorder="1" applyFont="1" applyNumberFormat="1">
      <alignment horizontal="center" readingOrder="0" shrinkToFit="0" vertical="center" wrapText="1"/>
    </xf>
    <xf borderId="4" fillId="7" fontId="25" numFmtId="0" xfId="0" applyAlignment="1" applyBorder="1" applyFont="1">
      <alignment horizontal="center" readingOrder="0" shrinkToFit="0" vertical="center" wrapText="1"/>
    </xf>
    <xf borderId="4" fillId="7" fontId="3" numFmtId="167" xfId="0" applyAlignment="1" applyBorder="1" applyFont="1" applyNumberFormat="1">
      <alignment horizontal="center" readingOrder="0" shrinkToFit="0" vertical="center" wrapText="1"/>
    </xf>
    <xf borderId="0" fillId="7" fontId="22" numFmtId="167" xfId="0" applyAlignment="1" applyFont="1" applyNumberFormat="1">
      <alignment horizontal="center" readingOrder="0"/>
    </xf>
    <xf borderId="4" fillId="7" fontId="6" numFmtId="0" xfId="0" applyAlignment="1" applyBorder="1" applyFont="1">
      <alignment horizontal="center" readingOrder="0" shrinkToFit="0" vertical="center" wrapText="1"/>
    </xf>
    <xf borderId="4" fillId="7" fontId="16" numFmtId="0" xfId="0" applyAlignment="1" applyBorder="1" applyFont="1">
      <alignment horizontal="center" readingOrder="0" shrinkToFit="0" vertical="center" wrapText="1"/>
    </xf>
    <xf borderId="4" fillId="7" fontId="16" numFmtId="164" xfId="0" applyAlignment="1" applyBorder="1" applyFont="1" applyNumberFormat="1">
      <alignment horizontal="center" readingOrder="0" shrinkToFit="0" vertical="center" wrapText="1"/>
    </xf>
    <xf borderId="4" fillId="7" fontId="16" numFmtId="167" xfId="0" applyAlignment="1" applyBorder="1" applyFont="1" applyNumberFormat="1">
      <alignment horizontal="center" readingOrder="0" shrinkToFit="0" vertical="center" wrapText="1"/>
    </xf>
    <xf borderId="4" fillId="8" fontId="16" numFmtId="0" xfId="0" applyAlignment="1" applyBorder="1" applyFont="1">
      <alignment horizontal="center" readingOrder="0" shrinkToFit="0" vertical="center" wrapText="1"/>
    </xf>
    <xf borderId="4" fillId="8" fontId="16" numFmtId="1" xfId="0" applyAlignment="1" applyBorder="1" applyFont="1" applyNumberFormat="1">
      <alignment horizontal="center" readingOrder="0" shrinkToFit="0" vertical="center" wrapText="1"/>
    </xf>
    <xf borderId="4" fillId="8" fontId="3" numFmtId="0" xfId="0" applyAlignment="1" applyBorder="1" applyFont="1">
      <alignment horizontal="center" readingOrder="0" shrinkToFit="0" vertical="center" wrapText="1"/>
    </xf>
    <xf borderId="4" fillId="8" fontId="16" numFmtId="164" xfId="0" applyAlignment="1" applyBorder="1" applyFont="1" applyNumberFormat="1">
      <alignment horizontal="center" readingOrder="0" shrinkToFit="0" vertical="center" wrapText="1"/>
    </xf>
    <xf borderId="4" fillId="8" fontId="16" numFmtId="167" xfId="0" applyAlignment="1" applyBorder="1" applyFont="1" applyNumberFormat="1">
      <alignment horizontal="center" readingOrder="0" shrinkToFit="0" vertical="center" wrapText="1"/>
    </xf>
    <xf borderId="4" fillId="8" fontId="16" numFmtId="165" xfId="0" applyAlignment="1" applyBorder="1" applyFont="1" applyNumberFormat="1">
      <alignment horizontal="center" readingOrder="0" shrinkToFit="0" vertical="center" wrapText="1"/>
    </xf>
    <xf borderId="4" fillId="8" fontId="26" numFmtId="0" xfId="0" applyAlignment="1" applyBorder="1" applyFont="1">
      <alignment horizontal="center" readingOrder="0" shrinkToFit="0" vertical="center" wrapText="1"/>
    </xf>
    <xf borderId="4" fillId="8" fontId="16" numFmtId="0" xfId="0" applyAlignment="1" applyBorder="1" applyFont="1">
      <alignment horizontal="center" readingOrder="0" shrinkToFit="0" vertical="center" wrapText="1"/>
    </xf>
    <xf borderId="4" fillId="8" fontId="16" numFmtId="20" xfId="0" applyAlignment="1" applyBorder="1" applyFont="1" applyNumberFormat="1">
      <alignment horizontal="center" readingOrder="0" shrinkToFit="0" vertical="center" wrapText="1"/>
    </xf>
    <xf borderId="4" fillId="8" fontId="27" numFmtId="0" xfId="0" applyAlignment="1" applyBorder="1" applyFont="1">
      <alignment horizontal="center" readingOrder="0" shrinkToFit="0" vertical="center" wrapText="1"/>
    </xf>
    <xf borderId="4" fillId="8" fontId="4" numFmtId="0" xfId="0" applyAlignment="1" applyBorder="1" applyFont="1">
      <alignment horizontal="center" readingOrder="0" shrinkToFit="0" vertical="center" wrapText="1"/>
    </xf>
    <xf borderId="4" fillId="8" fontId="3" numFmtId="164" xfId="0" applyAlignment="1" applyBorder="1" applyFont="1" applyNumberFormat="1">
      <alignment horizontal="center" readingOrder="0" shrinkToFit="0" vertical="center" wrapText="1"/>
    </xf>
    <xf borderId="4" fillId="8" fontId="3" numFmtId="167" xfId="0" applyAlignment="1" applyBorder="1" applyFont="1" applyNumberFormat="1">
      <alignment horizontal="center" readingOrder="0" shrinkToFit="0" vertical="center" wrapText="1"/>
    </xf>
    <xf borderId="4" fillId="8" fontId="28" numFmtId="0" xfId="0" applyAlignment="1" applyBorder="1" applyFont="1">
      <alignment horizontal="center" readingOrder="0" shrinkToFit="0" vertical="center" wrapText="1"/>
    </xf>
    <xf borderId="0" fillId="8" fontId="22" numFmtId="0" xfId="0" applyAlignment="1" applyFont="1">
      <alignment horizontal="center" readingOrder="0"/>
    </xf>
    <xf borderId="4" fillId="8" fontId="6" numFmtId="0" xfId="0" applyAlignment="1" applyBorder="1" applyFont="1">
      <alignment horizontal="center" readingOrder="0" shrinkToFit="0" vertical="center" wrapText="1"/>
    </xf>
    <xf borderId="4" fillId="8" fontId="16" numFmtId="164" xfId="0" applyAlignment="1" applyBorder="1" applyFont="1" applyNumberFormat="1">
      <alignment horizontal="center" readingOrder="0" shrinkToFit="0" vertical="center" wrapText="1"/>
    </xf>
    <xf borderId="4" fillId="8" fontId="16" numFmtId="167" xfId="0" applyAlignment="1" applyBorder="1" applyFont="1" applyNumberFormat="1">
      <alignment horizontal="center" readingOrder="0" shrinkToFit="0" vertical="center" wrapText="1"/>
    </xf>
    <xf borderId="4" fillId="9" fontId="16" numFmtId="0" xfId="0" applyAlignment="1" applyBorder="1" applyFont="1">
      <alignment horizontal="center" readingOrder="0" shrinkToFit="0" vertical="center" wrapText="1"/>
    </xf>
    <xf borderId="4" fillId="9" fontId="29" numFmtId="0" xfId="0" applyAlignment="1" applyBorder="1" applyFont="1">
      <alignment horizontal="center" readingOrder="0" shrinkToFit="0" vertical="center" wrapText="1"/>
    </xf>
    <xf borderId="4" fillId="9" fontId="29" numFmtId="1" xfId="0" applyAlignment="1" applyBorder="1" applyFont="1" applyNumberFormat="1">
      <alignment horizontal="center" readingOrder="0" shrinkToFit="0" vertical="center" wrapText="1"/>
    </xf>
    <xf borderId="4" fillId="9" fontId="29" numFmtId="164" xfId="0" applyAlignment="1" applyBorder="1" applyFont="1" applyNumberFormat="1">
      <alignment horizontal="center" readingOrder="0" shrinkToFit="0" vertical="center" wrapText="1"/>
    </xf>
    <xf borderId="4" fillId="9" fontId="29" numFmtId="167" xfId="0" applyAlignment="1" applyBorder="1" applyFont="1" applyNumberFormat="1">
      <alignment horizontal="center" readingOrder="0" shrinkToFit="0" vertical="center" wrapText="1"/>
    </xf>
    <xf borderId="4" fillId="9" fontId="29" numFmtId="165" xfId="0" applyAlignment="1" applyBorder="1" applyFont="1" applyNumberFormat="1">
      <alignment horizontal="center" readingOrder="0" shrinkToFit="0" vertical="center" wrapText="1"/>
    </xf>
    <xf borderId="4" fillId="9" fontId="30" numFmtId="0" xfId="0" applyAlignment="1" applyBorder="1" applyFont="1">
      <alignment horizontal="center" readingOrder="0" shrinkToFit="0" vertical="center" wrapText="1"/>
    </xf>
    <xf borderId="4" fillId="9" fontId="3" numFmtId="0" xfId="0" applyAlignment="1" applyBorder="1" applyFont="1">
      <alignment horizontal="center" readingOrder="0" shrinkToFit="0" vertical="center" wrapText="1"/>
    </xf>
    <xf borderId="4" fillId="9" fontId="29" numFmtId="167" xfId="0" applyAlignment="1" applyBorder="1" applyFont="1" applyNumberFormat="1">
      <alignment horizontal="center" readingOrder="0" shrinkToFit="0" vertical="center" wrapText="1"/>
    </xf>
    <xf borderId="4" fillId="9" fontId="31" numFmtId="0" xfId="0" applyAlignment="1" applyBorder="1" applyFont="1">
      <alignment horizontal="center" readingOrder="0" shrinkToFit="0" vertical="center" wrapText="1"/>
    </xf>
    <xf borderId="4" fillId="9" fontId="29" numFmtId="20" xfId="0" applyAlignment="1" applyBorder="1" applyFont="1" applyNumberFormat="1">
      <alignment horizontal="center" readingOrder="0" shrinkToFit="0" vertical="center" wrapText="1"/>
    </xf>
    <xf borderId="4" fillId="9" fontId="32" numFmtId="0" xfId="0" applyAlignment="1" applyBorder="1" applyFont="1">
      <alignment horizontal="center" readingOrder="0" shrinkToFit="0" vertical="center" wrapText="1"/>
    </xf>
    <xf borderId="4" fillId="9" fontId="29" numFmtId="164" xfId="0" applyAlignment="1" applyBorder="1" applyFont="1" applyNumberFormat="1">
      <alignment horizontal="center" readingOrder="0" shrinkToFit="0" vertical="center" wrapText="1"/>
    </xf>
    <xf borderId="0" fillId="9" fontId="16" numFmtId="0" xfId="0" applyAlignment="1" applyFont="1">
      <alignment horizontal="center" readingOrder="0" shrinkToFit="0" vertical="center" wrapText="1"/>
    </xf>
    <xf borderId="8" fillId="2" fontId="1" numFmtId="0" xfId="0" applyAlignment="1" applyBorder="1" applyFont="1">
      <alignment horizontal="center" readingOrder="0" shrinkToFit="0" vertical="center" wrapText="1"/>
    </xf>
    <xf borderId="9" fillId="0" fontId="2" numFmtId="0" xfId="0" applyBorder="1" applyFont="1"/>
    <xf borderId="10" fillId="0" fontId="2" numFmtId="0" xfId="0" applyBorder="1" applyFont="1"/>
    <xf borderId="4" fillId="4" fontId="5" numFmtId="0" xfId="0" applyAlignment="1" applyBorder="1" applyFont="1">
      <alignment horizontal="center" readingOrder="0" shrinkToFit="0" vertical="center" wrapText="1"/>
    </xf>
    <xf borderId="4" fillId="12" fontId="3" numFmtId="0" xfId="0" applyAlignment="1" applyBorder="1" applyFill="1" applyFont="1">
      <alignment horizontal="center" readingOrder="0" shrinkToFit="0" vertical="center" wrapText="1"/>
    </xf>
    <xf borderId="4" fillId="12" fontId="3" numFmtId="1" xfId="0" applyAlignment="1" applyBorder="1" applyFont="1" applyNumberFormat="1">
      <alignment horizontal="center" readingOrder="0" shrinkToFit="0" vertical="center" wrapText="1"/>
    </xf>
    <xf borderId="4" fillId="12" fontId="3" numFmtId="164" xfId="0" applyAlignment="1" applyBorder="1" applyFont="1" applyNumberFormat="1">
      <alignment horizontal="center" readingOrder="0" shrinkToFit="0" vertical="center" wrapText="1"/>
    </xf>
    <xf borderId="4" fillId="12" fontId="33" numFmtId="168" xfId="0" applyAlignment="1" applyBorder="1" applyFont="1" applyNumberFormat="1">
      <alignment horizontal="center" readingOrder="0" vertical="center"/>
    </xf>
    <xf borderId="4" fillId="12" fontId="34" numFmtId="0" xfId="0" applyAlignment="1" applyBorder="1" applyFont="1">
      <alignment horizontal="center" readingOrder="0" shrinkToFit="0" vertical="center" wrapText="1"/>
    </xf>
    <xf borderId="4" fillId="12" fontId="33" numFmtId="168" xfId="0" applyAlignment="1" applyBorder="1" applyFont="1" applyNumberFormat="1">
      <alignment horizontal="center" readingOrder="0" shrinkToFit="0" vertical="center" wrapText="1"/>
    </xf>
    <xf borderId="4" fillId="12" fontId="3" numFmtId="164" xfId="0" applyAlignment="1" applyBorder="1" applyFont="1" applyNumberFormat="1">
      <alignment horizontal="center" readingOrder="0" shrinkToFit="0" vertical="center" wrapText="1"/>
    </xf>
    <xf borderId="4" fillId="13" fontId="3" numFmtId="164" xfId="0" applyAlignment="1" applyBorder="1" applyFill="1" applyFont="1" applyNumberFormat="1">
      <alignment horizontal="center" readingOrder="0" shrinkToFit="0" vertical="center" wrapText="1"/>
    </xf>
    <xf borderId="4" fillId="13" fontId="3" numFmtId="1" xfId="0" applyAlignment="1" applyBorder="1" applyFont="1" applyNumberFormat="1">
      <alignment horizontal="center" readingOrder="0" shrinkToFit="0" vertical="center" wrapText="1"/>
    </xf>
    <xf borderId="4" fillId="13" fontId="3" numFmtId="0" xfId="0" applyAlignment="1" applyBorder="1" applyFont="1">
      <alignment horizontal="center" readingOrder="0" shrinkToFit="0" vertical="center" wrapText="1"/>
    </xf>
    <xf borderId="4" fillId="13" fontId="3" numFmtId="164" xfId="0" applyAlignment="1" applyBorder="1" applyFont="1" applyNumberFormat="1">
      <alignment horizontal="center" readingOrder="0" shrinkToFit="0" vertical="center" wrapText="1"/>
    </xf>
    <xf borderId="4" fillId="13" fontId="33" numFmtId="168" xfId="0" applyAlignment="1" applyBorder="1" applyFont="1" applyNumberFormat="1">
      <alignment horizontal="center" readingOrder="0" shrinkToFit="0" vertical="center" wrapText="1"/>
    </xf>
    <xf borderId="4" fillId="13" fontId="35" numFmtId="0" xfId="0" applyAlignment="1" applyBorder="1" applyFont="1">
      <alignment horizontal="center" readingOrder="0" shrinkToFit="0" vertical="center" wrapText="1"/>
    </xf>
    <xf borderId="4" fillId="12" fontId="3" numFmtId="1" xfId="0" applyAlignment="1" applyBorder="1" applyFont="1" applyNumberFormat="1">
      <alignment horizontal="center" readingOrder="0" shrinkToFit="0" vertical="center" wrapText="1"/>
    </xf>
    <xf borderId="4" fillId="14" fontId="3" numFmtId="0" xfId="0" applyAlignment="1" applyBorder="1" applyFill="1" applyFont="1">
      <alignment horizontal="center" readingOrder="0" vertical="center"/>
    </xf>
    <xf borderId="4" fillId="14" fontId="3" numFmtId="1" xfId="0" applyAlignment="1" applyBorder="1" applyFont="1" applyNumberFormat="1">
      <alignment horizontal="center" readingOrder="0" vertical="center"/>
    </xf>
    <xf borderId="4" fillId="14" fontId="3" numFmtId="164" xfId="0" applyAlignment="1" applyBorder="1" applyFont="1" applyNumberFormat="1">
      <alignment horizontal="center" readingOrder="0" vertical="center"/>
    </xf>
    <xf borderId="4" fillId="14" fontId="33" numFmtId="168" xfId="0" applyAlignment="1" applyBorder="1" applyFont="1" applyNumberFormat="1">
      <alignment horizontal="center" readingOrder="0" vertical="center"/>
    </xf>
    <xf borderId="4" fillId="14" fontId="36" numFmtId="0" xfId="0" applyAlignment="1" applyBorder="1" applyFont="1">
      <alignment horizontal="center" readingOrder="0" vertical="center"/>
    </xf>
    <xf borderId="4" fillId="14" fontId="37" numFmtId="0" xfId="0" applyAlignment="1" applyBorder="1" applyFont="1">
      <alignment horizontal="center" readingOrder="0" vertical="center"/>
    </xf>
    <xf borderId="4" fillId="14" fontId="3" numFmtId="0" xfId="0" applyAlignment="1" applyBorder="1" applyFont="1">
      <alignment horizontal="center" vertical="center"/>
    </xf>
    <xf borderId="5" fillId="2" fontId="1" numFmtId="0" xfId="0" applyAlignment="1" applyBorder="1" applyFont="1">
      <alignment horizontal="left" readingOrder="0" shrinkToFit="0" vertical="center" wrapText="1"/>
    </xf>
    <xf borderId="5" fillId="15" fontId="38" numFmtId="0" xfId="0" applyAlignment="1" applyBorder="1" applyFill="1" applyFont="1">
      <alignment horizontal="center" readingOrder="0" vertical="center"/>
    </xf>
    <xf borderId="11" fillId="4" fontId="39" numFmtId="0" xfId="0" applyAlignment="1" applyBorder="1" applyFont="1">
      <alignment horizontal="center" readingOrder="0" vertical="center"/>
    </xf>
    <xf borderId="12" fillId="0" fontId="2" numFmtId="0" xfId="0" applyBorder="1" applyFont="1"/>
    <xf borderId="13" fillId="0" fontId="2" numFmtId="0" xfId="0" applyBorder="1" applyFont="1"/>
    <xf borderId="14" fillId="0" fontId="2" numFmtId="0" xfId="0" applyBorder="1" applyFont="1"/>
    <xf borderId="15" fillId="0" fontId="2" numFmtId="0" xfId="0" applyBorder="1" applyFont="1"/>
    <xf borderId="16" fillId="0" fontId="2" numFmtId="0" xfId="0" applyBorder="1" applyFont="1"/>
    <xf borderId="11" fillId="16" fontId="40" numFmtId="0" xfId="0" applyAlignment="1" applyBorder="1" applyFill="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28</xdr:row>
      <xdr:rowOff>133350</xdr:rowOff>
    </xdr:from>
    <xdr:ext cx="7191375" cy="3667125"/>
    <xdr:pic>
      <xdr:nvPicPr>
        <xdr:cNvPr id="0" name="image1.png" title="圖片"/>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groups/WTGfastpacking" TargetMode="External"/><Relationship Id="rId2" Type="http://schemas.openxmlformats.org/officeDocument/2006/relationships/hyperlink" Target="https://reurl.cc/XV6aqR" TargetMode="External"/><Relationship Id="rId3" Type="http://schemas.openxmlformats.org/officeDocument/2006/relationships/hyperlink" Target="https://www.facebook.com/groups/935203886528583" TargetMode="External"/><Relationship Id="rId4" Type="http://schemas.openxmlformats.org/officeDocument/2006/relationships/hyperlink" Target="https://www.facebook.com/groups/1653614654914504" TargetMode="External"/><Relationship Id="rId11" Type="http://schemas.openxmlformats.org/officeDocument/2006/relationships/drawing" Target="../drawings/drawing1.xml"/><Relationship Id="rId10" Type="http://schemas.openxmlformats.org/officeDocument/2006/relationships/hyperlink" Target="https://itra.run/" TargetMode="External"/><Relationship Id="rId9" Type="http://schemas.openxmlformats.org/officeDocument/2006/relationships/hyperlink" Target="http://www.sunriver.com.tw/step2020_1.htm" TargetMode="External"/><Relationship Id="rId5" Type="http://schemas.openxmlformats.org/officeDocument/2006/relationships/hyperlink" Target="https://reurl.cc/R4o8a6" TargetMode="External"/><Relationship Id="rId6" Type="http://schemas.openxmlformats.org/officeDocument/2006/relationships/hyperlink" Target="https://reurl.cc/qO9kx0" TargetMode="External"/><Relationship Id="rId7" Type="http://schemas.openxmlformats.org/officeDocument/2006/relationships/hyperlink" Target="https://reurl.cc/VXgvqy" TargetMode="External"/><Relationship Id="rId8" Type="http://schemas.openxmlformats.org/officeDocument/2006/relationships/hyperlink" Target="http://www.sunriver.com.tw/step2020.htm"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reurl.cc/R4gAxe" TargetMode="External"/><Relationship Id="rId42" Type="http://schemas.openxmlformats.org/officeDocument/2006/relationships/hyperlink" Target="https://reurl.cc/b5rQXr" TargetMode="External"/><Relationship Id="rId41" Type="http://schemas.openxmlformats.org/officeDocument/2006/relationships/hyperlink" Target="https://reurl.cc/gm7nYN" TargetMode="External"/><Relationship Id="rId44" Type="http://schemas.openxmlformats.org/officeDocument/2006/relationships/hyperlink" Target="https://reurl.cc/O4vaLA" TargetMode="External"/><Relationship Id="rId43" Type="http://schemas.openxmlformats.org/officeDocument/2006/relationships/hyperlink" Target="https://reurl.cc/Wdy5ZD" TargetMode="External"/><Relationship Id="rId46" Type="http://schemas.openxmlformats.org/officeDocument/2006/relationships/hyperlink" Target="https://reurl.cc/Ld0GzK" TargetMode="External"/><Relationship Id="rId45" Type="http://schemas.openxmlformats.org/officeDocument/2006/relationships/hyperlink" Target="https://reurl.cc/Kk7nLg" TargetMode="External"/><Relationship Id="rId107" Type="http://schemas.openxmlformats.org/officeDocument/2006/relationships/hyperlink" Target="https://reurl.cc/exgjnQ?fbclid=IwAR01JMWIq6vjVHs8WtVJUICIw4IeeOy3_TcCQTQpGrQtJ64wbxHXCLsphbI" TargetMode="External"/><Relationship Id="rId106" Type="http://schemas.openxmlformats.org/officeDocument/2006/relationships/hyperlink" Target="https://reurl.cc/V69L1Q" TargetMode="External"/><Relationship Id="rId105" Type="http://schemas.openxmlformats.org/officeDocument/2006/relationships/hyperlink" Target="https://reurl.cc/q1ax6E" TargetMode="External"/><Relationship Id="rId104" Type="http://schemas.openxmlformats.org/officeDocument/2006/relationships/hyperlink" Target="https://reurl.cc/A7M6pY" TargetMode="External"/><Relationship Id="rId109" Type="http://schemas.openxmlformats.org/officeDocument/2006/relationships/hyperlink" Target="https://reurl.cc/o1vgeV" TargetMode="External"/><Relationship Id="rId108" Type="http://schemas.openxmlformats.org/officeDocument/2006/relationships/hyperlink" Target="https://reurl.cc/EpO1p1" TargetMode="External"/><Relationship Id="rId48" Type="http://schemas.openxmlformats.org/officeDocument/2006/relationships/hyperlink" Target="https://reurl.cc/9E9Nm8" TargetMode="External"/><Relationship Id="rId47" Type="http://schemas.openxmlformats.org/officeDocument/2006/relationships/hyperlink" Target="https://reurl.cc/NR1ZKm" TargetMode="External"/><Relationship Id="rId49" Type="http://schemas.openxmlformats.org/officeDocument/2006/relationships/hyperlink" Target="https://reurl.cc/rxeq6Z" TargetMode="External"/><Relationship Id="rId103" Type="http://schemas.openxmlformats.org/officeDocument/2006/relationships/hyperlink" Target="https://reurl.cc/ZAD4nl" TargetMode="External"/><Relationship Id="rId102" Type="http://schemas.openxmlformats.org/officeDocument/2006/relationships/hyperlink" Target="https://reurl.cc/YWN9qL" TargetMode="External"/><Relationship Id="rId101" Type="http://schemas.openxmlformats.org/officeDocument/2006/relationships/hyperlink" Target="https://reurl.cc/EzgXqm" TargetMode="External"/><Relationship Id="rId100" Type="http://schemas.openxmlformats.org/officeDocument/2006/relationships/hyperlink" Target="https://reurl.cc/Qdg1V2" TargetMode="External"/><Relationship Id="rId31" Type="http://schemas.openxmlformats.org/officeDocument/2006/relationships/hyperlink" Target="https://reurl.cc/D9adZQ" TargetMode="External"/><Relationship Id="rId30" Type="http://schemas.openxmlformats.org/officeDocument/2006/relationships/hyperlink" Target="https://reurl.cc/moRaZ9" TargetMode="External"/><Relationship Id="rId33" Type="http://schemas.openxmlformats.org/officeDocument/2006/relationships/hyperlink" Target="https://reurl.cc/n1go3v" TargetMode="External"/><Relationship Id="rId32" Type="http://schemas.openxmlformats.org/officeDocument/2006/relationships/hyperlink" Target="https://reurl.cc/MZ33XX" TargetMode="External"/><Relationship Id="rId35" Type="http://schemas.openxmlformats.org/officeDocument/2006/relationships/hyperlink" Target="https://reurl.cc/m9r747" TargetMode="External"/><Relationship Id="rId34" Type="http://schemas.openxmlformats.org/officeDocument/2006/relationships/hyperlink" Target="https://reurl.cc/zMmNq0" TargetMode="External"/><Relationship Id="rId37" Type="http://schemas.openxmlformats.org/officeDocument/2006/relationships/hyperlink" Target="https://reurl.cc/g7OQQQ" TargetMode="External"/><Relationship Id="rId36" Type="http://schemas.openxmlformats.org/officeDocument/2006/relationships/hyperlink" Target="https://reurl.cc/g7OQmR" TargetMode="External"/><Relationship Id="rId39" Type="http://schemas.openxmlformats.org/officeDocument/2006/relationships/hyperlink" Target="https://reurl.cc/OA9vz3" TargetMode="External"/><Relationship Id="rId38" Type="http://schemas.openxmlformats.org/officeDocument/2006/relationships/hyperlink" Target="https://reurl.cc/kdKOad" TargetMode="External"/><Relationship Id="rId20" Type="http://schemas.openxmlformats.org/officeDocument/2006/relationships/hyperlink" Target="https://reurl.cc/j7eOVL?fbclid=IwAR1Ao0rDlN9d9gT7EduFVdRzYdyO-qgunU-MZ4Cl7OVALRGpcTnN6Ds3B5g" TargetMode="External"/><Relationship Id="rId22" Type="http://schemas.openxmlformats.org/officeDocument/2006/relationships/hyperlink" Target="https://reurl.cc/moRaZ9" TargetMode="External"/><Relationship Id="rId21" Type="http://schemas.openxmlformats.org/officeDocument/2006/relationships/hyperlink" Target="https://reurl.cc/E7yqR1" TargetMode="External"/><Relationship Id="rId24" Type="http://schemas.openxmlformats.org/officeDocument/2006/relationships/hyperlink" Target="https://reurl.cc/d0N128" TargetMode="External"/><Relationship Id="rId23" Type="http://schemas.openxmlformats.org/officeDocument/2006/relationships/hyperlink" Target="https://reurl.cc/xZn6ye" TargetMode="External"/><Relationship Id="rId129" Type="http://schemas.openxmlformats.org/officeDocument/2006/relationships/hyperlink" Target="https://reurl.cc/yMOQDq" TargetMode="External"/><Relationship Id="rId128" Type="http://schemas.openxmlformats.org/officeDocument/2006/relationships/hyperlink" Target="https://reurl.cc/3OqYrj" TargetMode="External"/><Relationship Id="rId127" Type="http://schemas.openxmlformats.org/officeDocument/2006/relationships/hyperlink" Target="https://reurl.cc/YepOVX" TargetMode="External"/><Relationship Id="rId126" Type="http://schemas.openxmlformats.org/officeDocument/2006/relationships/hyperlink" Target="https://reurl.cc/MRajDm" TargetMode="External"/><Relationship Id="rId26" Type="http://schemas.openxmlformats.org/officeDocument/2006/relationships/hyperlink" Target="https://reurl.cc/V6oY36" TargetMode="External"/><Relationship Id="rId121" Type="http://schemas.openxmlformats.org/officeDocument/2006/relationships/hyperlink" Target="https://reurl.cc/xpO3dE" TargetMode="External"/><Relationship Id="rId25" Type="http://schemas.openxmlformats.org/officeDocument/2006/relationships/hyperlink" Target="https://reurl.cc/KMXgKq" TargetMode="External"/><Relationship Id="rId120" Type="http://schemas.openxmlformats.org/officeDocument/2006/relationships/hyperlink" Target="https://reurl.cc/8pWqvo" TargetMode="External"/><Relationship Id="rId28" Type="http://schemas.openxmlformats.org/officeDocument/2006/relationships/hyperlink" Target="https://reurl.cc/qdjkWp" TargetMode="External"/><Relationship Id="rId27" Type="http://schemas.openxmlformats.org/officeDocument/2006/relationships/hyperlink" Target="https://reurl.cc/oLk6Gg" TargetMode="External"/><Relationship Id="rId125" Type="http://schemas.openxmlformats.org/officeDocument/2006/relationships/hyperlink" Target="https://reurl.cc/pM8oV4" TargetMode="External"/><Relationship Id="rId29" Type="http://schemas.openxmlformats.org/officeDocument/2006/relationships/hyperlink" Target="https://reurl.cc/Z7VnnW" TargetMode="External"/><Relationship Id="rId124" Type="http://schemas.openxmlformats.org/officeDocument/2006/relationships/hyperlink" Target="https://reurl.cc/bD0aXy" TargetMode="External"/><Relationship Id="rId123" Type="http://schemas.openxmlformats.org/officeDocument/2006/relationships/hyperlink" Target="https://reurl.cc/GrXmqp" TargetMode="External"/><Relationship Id="rId122" Type="http://schemas.openxmlformats.org/officeDocument/2006/relationships/hyperlink" Target="https://reurl.cc/KxaVDj" TargetMode="External"/><Relationship Id="rId95" Type="http://schemas.openxmlformats.org/officeDocument/2006/relationships/hyperlink" Target="https://reurl.cc/yeWpAy" TargetMode="External"/><Relationship Id="rId94" Type="http://schemas.openxmlformats.org/officeDocument/2006/relationships/hyperlink" Target="https://reurl.cc/E7M46k?fbclid=IwAR01Kj2QUOsomZ1uzNWNw64FsXao8xcbAEAq5hxVo2ENiqHusotTMYlSosM" TargetMode="External"/><Relationship Id="rId97" Type="http://schemas.openxmlformats.org/officeDocument/2006/relationships/hyperlink" Target="https://reurl.cc/O125AD" TargetMode="External"/><Relationship Id="rId96" Type="http://schemas.openxmlformats.org/officeDocument/2006/relationships/hyperlink" Target="https://reurl.cc/GrpkZy" TargetMode="External"/><Relationship Id="rId11" Type="http://schemas.openxmlformats.org/officeDocument/2006/relationships/hyperlink" Target="https://reurl.cc/b5o8XM" TargetMode="External"/><Relationship Id="rId99" Type="http://schemas.openxmlformats.org/officeDocument/2006/relationships/hyperlink" Target="https://reurl.cc/0onAr9" TargetMode="External"/><Relationship Id="rId10" Type="http://schemas.openxmlformats.org/officeDocument/2006/relationships/hyperlink" Target="https://reurl.cc/O1NN33" TargetMode="External"/><Relationship Id="rId98" Type="http://schemas.openxmlformats.org/officeDocument/2006/relationships/hyperlink" Target="https://reurl.cc/eOD487" TargetMode="External"/><Relationship Id="rId13" Type="http://schemas.openxmlformats.org/officeDocument/2006/relationships/hyperlink" Target="https://reurl.cc/EpM2V0" TargetMode="External"/><Relationship Id="rId12" Type="http://schemas.openxmlformats.org/officeDocument/2006/relationships/hyperlink" Target="https://reurl.cc/QjGMVM" TargetMode="External"/><Relationship Id="rId91" Type="http://schemas.openxmlformats.org/officeDocument/2006/relationships/hyperlink" Target="https://reurl.cc/O1lA27" TargetMode="External"/><Relationship Id="rId90" Type="http://schemas.openxmlformats.org/officeDocument/2006/relationships/hyperlink" Target="https://reurl.cc/VXRmQY" TargetMode="External"/><Relationship Id="rId93" Type="http://schemas.openxmlformats.org/officeDocument/2006/relationships/hyperlink" Target="https://reurl.cc/2gWYy9" TargetMode="External"/><Relationship Id="rId92" Type="http://schemas.openxmlformats.org/officeDocument/2006/relationships/hyperlink" Target="https://reurl.cc/d03NA2" TargetMode="External"/><Relationship Id="rId118" Type="http://schemas.openxmlformats.org/officeDocument/2006/relationships/hyperlink" Target="https://reurl.cc/vDXN5o" TargetMode="External"/><Relationship Id="rId117" Type="http://schemas.openxmlformats.org/officeDocument/2006/relationships/hyperlink" Target="https://reurl.cc/5pNyDG" TargetMode="External"/><Relationship Id="rId116" Type="http://schemas.openxmlformats.org/officeDocument/2006/relationships/hyperlink" Target="https://reurl.cc/DX4pjN" TargetMode="External"/><Relationship Id="rId115" Type="http://schemas.openxmlformats.org/officeDocument/2006/relationships/hyperlink" Target="https://reurl.cc/KQeLD9" TargetMode="External"/><Relationship Id="rId119" Type="http://schemas.openxmlformats.org/officeDocument/2006/relationships/hyperlink" Target="https://reurl.cc/py6vNQ" TargetMode="External"/><Relationship Id="rId15" Type="http://schemas.openxmlformats.org/officeDocument/2006/relationships/hyperlink" Target="https://reurl.cc/m9b18Y" TargetMode="External"/><Relationship Id="rId110" Type="http://schemas.openxmlformats.org/officeDocument/2006/relationships/hyperlink" Target="https://reurl.cc/Y6pGkO" TargetMode="External"/><Relationship Id="rId14" Type="http://schemas.openxmlformats.org/officeDocument/2006/relationships/hyperlink" Target="https://reurl.cc/j7NG2D" TargetMode="External"/><Relationship Id="rId17" Type="http://schemas.openxmlformats.org/officeDocument/2006/relationships/hyperlink" Target="https://reurl.cc/lVG1YE" TargetMode="External"/><Relationship Id="rId16" Type="http://schemas.openxmlformats.org/officeDocument/2006/relationships/hyperlink" Target="https://reurl.cc/O1Ogk3" TargetMode="External"/><Relationship Id="rId19" Type="http://schemas.openxmlformats.org/officeDocument/2006/relationships/hyperlink" Target="https://reurl.cc/Kbgkem" TargetMode="External"/><Relationship Id="rId114" Type="http://schemas.openxmlformats.org/officeDocument/2006/relationships/hyperlink" Target="https://reurl.cc/Z75EK3" TargetMode="External"/><Relationship Id="rId18" Type="http://schemas.openxmlformats.org/officeDocument/2006/relationships/hyperlink" Target="https://reurl.cc/Wkp1G5" TargetMode="External"/><Relationship Id="rId113" Type="http://schemas.openxmlformats.org/officeDocument/2006/relationships/hyperlink" Target="https://reurl.cc/ZAEj3a" TargetMode="External"/><Relationship Id="rId112" Type="http://schemas.openxmlformats.org/officeDocument/2006/relationships/hyperlink" Target="https://reurl.cc/kLeYWG" TargetMode="External"/><Relationship Id="rId111" Type="http://schemas.openxmlformats.org/officeDocument/2006/relationships/hyperlink" Target="https://reurl.cc/b5NaGv" TargetMode="External"/><Relationship Id="rId84" Type="http://schemas.openxmlformats.org/officeDocument/2006/relationships/hyperlink" Target="https://reurl.cc/2g8pbO" TargetMode="External"/><Relationship Id="rId83" Type="http://schemas.openxmlformats.org/officeDocument/2006/relationships/hyperlink" Target="https://reurl.cc/Lm2MRe" TargetMode="External"/><Relationship Id="rId86" Type="http://schemas.openxmlformats.org/officeDocument/2006/relationships/hyperlink" Target="https://reurl.cc/KbWdVg" TargetMode="External"/><Relationship Id="rId85" Type="http://schemas.openxmlformats.org/officeDocument/2006/relationships/hyperlink" Target="https://reurl.cc/Rbr7LG" TargetMode="External"/><Relationship Id="rId88" Type="http://schemas.openxmlformats.org/officeDocument/2006/relationships/hyperlink" Target="https://reurl.cc/1ZDXDY" TargetMode="External"/><Relationship Id="rId87" Type="http://schemas.openxmlformats.org/officeDocument/2006/relationships/hyperlink" Target="https://reurl.cc/odZKqM" TargetMode="External"/><Relationship Id="rId89" Type="http://schemas.openxmlformats.org/officeDocument/2006/relationships/hyperlink" Target="https://reurl.cc/qdKXER" TargetMode="External"/><Relationship Id="rId80" Type="http://schemas.openxmlformats.org/officeDocument/2006/relationships/hyperlink" Target="https://reurl.cc/6lbb8d" TargetMode="External"/><Relationship Id="rId82" Type="http://schemas.openxmlformats.org/officeDocument/2006/relationships/hyperlink" Target="https://reurl.cc/EzVM6a" TargetMode="External"/><Relationship Id="rId81" Type="http://schemas.openxmlformats.org/officeDocument/2006/relationships/hyperlink" Target="https://reurl.cc/44qL3v" TargetMode="External"/><Relationship Id="rId1" Type="http://schemas.openxmlformats.org/officeDocument/2006/relationships/comments" Target="../comments1.xml"/><Relationship Id="rId2" Type="http://schemas.openxmlformats.org/officeDocument/2006/relationships/hyperlink" Target="https://reurl.cc/x0NDEL" TargetMode="External"/><Relationship Id="rId3" Type="http://schemas.openxmlformats.org/officeDocument/2006/relationships/hyperlink" Target="https://reurl.cc/NpzRze" TargetMode="External"/><Relationship Id="rId4" Type="http://schemas.openxmlformats.org/officeDocument/2006/relationships/hyperlink" Target="https://reurl.cc/0o3RV6" TargetMode="External"/><Relationship Id="rId9" Type="http://schemas.openxmlformats.org/officeDocument/2006/relationships/hyperlink" Target="https://reurl.cc/0Xm8QK" TargetMode="External"/><Relationship Id="rId5" Type="http://schemas.openxmlformats.org/officeDocument/2006/relationships/hyperlink" Target="https://reurl.cc/ErOXMa" TargetMode="External"/><Relationship Id="rId6" Type="http://schemas.openxmlformats.org/officeDocument/2006/relationships/hyperlink" Target="https://reurl.cc/OXj73A" TargetMode="External"/><Relationship Id="rId7" Type="http://schemas.openxmlformats.org/officeDocument/2006/relationships/hyperlink" Target="https://reurl.cc/j15R7D" TargetMode="External"/><Relationship Id="rId8" Type="http://schemas.openxmlformats.org/officeDocument/2006/relationships/hyperlink" Target="https://reurl.cc/Gxe3ev" TargetMode="External"/><Relationship Id="rId73" Type="http://schemas.openxmlformats.org/officeDocument/2006/relationships/hyperlink" Target="https://reurl.cc/yZ0VAl" TargetMode="External"/><Relationship Id="rId72" Type="http://schemas.openxmlformats.org/officeDocument/2006/relationships/hyperlink" Target="https://reurl.cc/V4DpA5" TargetMode="External"/><Relationship Id="rId75" Type="http://schemas.openxmlformats.org/officeDocument/2006/relationships/hyperlink" Target="https://reurl.cc/vDElmo" TargetMode="External"/><Relationship Id="rId74" Type="http://schemas.openxmlformats.org/officeDocument/2006/relationships/hyperlink" Target="https://reurl.cc/qOjmaN" TargetMode="External"/><Relationship Id="rId77" Type="http://schemas.openxmlformats.org/officeDocument/2006/relationships/hyperlink" Target="https://reurl.cc/r8ZMD1" TargetMode="External"/><Relationship Id="rId76" Type="http://schemas.openxmlformats.org/officeDocument/2006/relationships/hyperlink" Target="https://reurl.cc/NjNAMk" TargetMode="External"/><Relationship Id="rId79" Type="http://schemas.openxmlformats.org/officeDocument/2006/relationships/hyperlink" Target="https://reurl.cc/0oeN6o?fbclid=IwAR0sortXzaiS-K2ywz3Lpm7a4-IeiLK8muiPnDpFvWr8cIDPIgKLjGQ82jk" TargetMode="External"/><Relationship Id="rId78" Type="http://schemas.openxmlformats.org/officeDocument/2006/relationships/hyperlink" Target="https://reurl.cc/q8ZQ3y" TargetMode="External"/><Relationship Id="rId71" Type="http://schemas.openxmlformats.org/officeDocument/2006/relationships/hyperlink" Target="https://reurl.cc/zMmAda" TargetMode="External"/><Relationship Id="rId70" Type="http://schemas.openxmlformats.org/officeDocument/2006/relationships/hyperlink" Target="https://reurl.cc/AqN3OZ" TargetMode="External"/><Relationship Id="rId132" Type="http://schemas.openxmlformats.org/officeDocument/2006/relationships/hyperlink" Target="https://reurl.cc/lDARel" TargetMode="External"/><Relationship Id="rId131" Type="http://schemas.openxmlformats.org/officeDocument/2006/relationships/hyperlink" Target="https://reurl.cc/d0Ejy6" TargetMode="External"/><Relationship Id="rId130" Type="http://schemas.openxmlformats.org/officeDocument/2006/relationships/hyperlink" Target="https://reurl.cc/OXenbX" TargetMode="External"/><Relationship Id="rId135" Type="http://schemas.openxmlformats.org/officeDocument/2006/relationships/vmlDrawing" Target="../drawings/vmlDrawing1.vml"/><Relationship Id="rId134" Type="http://schemas.openxmlformats.org/officeDocument/2006/relationships/drawing" Target="../drawings/drawing2.xml"/><Relationship Id="rId133" Type="http://schemas.openxmlformats.org/officeDocument/2006/relationships/hyperlink" Target="https://reurl.cc/0XZQAK" TargetMode="External"/><Relationship Id="rId62" Type="http://schemas.openxmlformats.org/officeDocument/2006/relationships/hyperlink" Target="https://reurl.cc/Y1Z42D" TargetMode="External"/><Relationship Id="rId61" Type="http://schemas.openxmlformats.org/officeDocument/2006/relationships/hyperlink" Target="https://reurl.cc/12Wo5p" TargetMode="External"/><Relationship Id="rId64" Type="http://schemas.openxmlformats.org/officeDocument/2006/relationships/hyperlink" Target="https://reurl.cc/Y6Mq8X" TargetMode="External"/><Relationship Id="rId63" Type="http://schemas.openxmlformats.org/officeDocument/2006/relationships/hyperlink" Target="https://reurl.cc/5p1LER" TargetMode="External"/><Relationship Id="rId66" Type="http://schemas.openxmlformats.org/officeDocument/2006/relationships/hyperlink" Target="https://reurl.cc/QdvaWb" TargetMode="External"/><Relationship Id="rId65" Type="http://schemas.openxmlformats.org/officeDocument/2006/relationships/hyperlink" Target="https://reurl.cc/9Ebp1n" TargetMode="External"/><Relationship Id="rId68" Type="http://schemas.openxmlformats.org/officeDocument/2006/relationships/hyperlink" Target="https://reurl.cc/1xKa1W" TargetMode="External"/><Relationship Id="rId67" Type="http://schemas.openxmlformats.org/officeDocument/2006/relationships/hyperlink" Target="https://reurl.cc/NpLWjx" TargetMode="External"/><Relationship Id="rId60" Type="http://schemas.openxmlformats.org/officeDocument/2006/relationships/hyperlink" Target="https://reurl.cc/7DV7jk" TargetMode="External"/><Relationship Id="rId69" Type="http://schemas.openxmlformats.org/officeDocument/2006/relationships/hyperlink" Target="https://reurl.cc/Nj2GKk" TargetMode="External"/><Relationship Id="rId51" Type="http://schemas.openxmlformats.org/officeDocument/2006/relationships/hyperlink" Target="https://reurl.cc/VX4dr5" TargetMode="External"/><Relationship Id="rId50" Type="http://schemas.openxmlformats.org/officeDocument/2006/relationships/hyperlink" Target="https://reurl.cc/oeO0Kg" TargetMode="External"/><Relationship Id="rId53" Type="http://schemas.openxmlformats.org/officeDocument/2006/relationships/hyperlink" Target="https://reurl.cc/D3nd4d" TargetMode="External"/><Relationship Id="rId52" Type="http://schemas.openxmlformats.org/officeDocument/2006/relationships/hyperlink" Target="https://reurl.cc/lVOWrq?fbclid=IwAR0mMAlC4L4NRaFADXkv1uuLjt-q6iDdexHOAb9gJUNN-yUrqVE5Q44pJZc" TargetMode="External"/><Relationship Id="rId55" Type="http://schemas.openxmlformats.org/officeDocument/2006/relationships/hyperlink" Target="https://reurl.cc/GVnEQd" TargetMode="External"/><Relationship Id="rId54" Type="http://schemas.openxmlformats.org/officeDocument/2006/relationships/hyperlink" Target="https://reurl.cc/AqlzkY" TargetMode="External"/><Relationship Id="rId57" Type="http://schemas.openxmlformats.org/officeDocument/2006/relationships/hyperlink" Target="https://reurl.cc/WdKxpD" TargetMode="External"/><Relationship Id="rId56" Type="http://schemas.openxmlformats.org/officeDocument/2006/relationships/hyperlink" Target="https://reurl.cc/rxGykZ" TargetMode="External"/><Relationship Id="rId59" Type="http://schemas.openxmlformats.org/officeDocument/2006/relationships/hyperlink" Target="https://reurl.cc/b5rbod" TargetMode="External"/><Relationship Id="rId58" Type="http://schemas.openxmlformats.org/officeDocument/2006/relationships/hyperlink" Target="https://reurl.cc/7XK215" TargetMode="External"/></Relationships>
</file>

<file path=xl/worksheets/_rels/sheet3.xml.rels><?xml version="1.0" encoding="UTF-8" standalone="yes"?><Relationships xmlns="http://schemas.openxmlformats.org/package/2006/relationships"><Relationship Id="rId11" Type="http://schemas.openxmlformats.org/officeDocument/2006/relationships/vmlDrawing" Target="../drawings/vmlDrawing2.vml"/><Relationship Id="rId10" Type="http://schemas.openxmlformats.org/officeDocument/2006/relationships/drawing" Target="../drawings/drawing3.xml"/><Relationship Id="rId1" Type="http://schemas.openxmlformats.org/officeDocument/2006/relationships/comments" Target="../comments2.xml"/><Relationship Id="rId2" Type="http://schemas.openxmlformats.org/officeDocument/2006/relationships/hyperlink" Target="https://reurl.cc/mooXVV" TargetMode="External"/><Relationship Id="rId3" Type="http://schemas.openxmlformats.org/officeDocument/2006/relationships/hyperlink" Target="https://reurl.cc/x99XMZ" TargetMode="External"/><Relationship Id="rId4" Type="http://schemas.openxmlformats.org/officeDocument/2006/relationships/hyperlink" Target="https://reurl.cc/zZZXLQ" TargetMode="External"/><Relationship Id="rId9" Type="http://schemas.openxmlformats.org/officeDocument/2006/relationships/hyperlink" Target="https://reurl.cc/2ZmGea" TargetMode="External"/><Relationship Id="rId5" Type="http://schemas.openxmlformats.org/officeDocument/2006/relationships/hyperlink" Target="https://reurl.cc/A77D5E" TargetMode="External"/><Relationship Id="rId6" Type="http://schemas.openxmlformats.org/officeDocument/2006/relationships/hyperlink" Target="https://reurl.cc/WrrYbL" TargetMode="External"/><Relationship Id="rId7" Type="http://schemas.openxmlformats.org/officeDocument/2006/relationships/hyperlink" Target="https://reurl.cc/WrrWj5" TargetMode="External"/><Relationship Id="rId8" Type="http://schemas.openxmlformats.org/officeDocument/2006/relationships/hyperlink" Target="https://reurl.cc/3oyZGR"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jmlnt.forest.gov.tw/room/" TargetMode="External"/><Relationship Id="rId2" Type="http://schemas.openxmlformats.org/officeDocument/2006/relationships/hyperlink" Target="https://npm.cpami.gov.tw/bed_1.aspx" TargetMode="External"/><Relationship Id="rId3" Type="http://schemas.openxmlformats.org/officeDocument/2006/relationships/hyperlink" Target="https://kgonline.forest.gov.tw/room/" TargetMode="External"/><Relationship Id="rId4" Type="http://schemas.openxmlformats.org/officeDocument/2006/relationships/hyperlink" Target="https://nv2.npa.gov.tw/NM107-604Client/" TargetMode="External"/><Relationship Id="rId5" Type="http://schemas.openxmlformats.org/officeDocument/2006/relationships/hyperlink" Target="https://tconline.forest.gov.tw/home.php" TargetMode="External"/><Relationship Id="rId6"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9.75"/>
    <col customWidth="1" min="7" max="7" width="19.38"/>
  </cols>
  <sheetData>
    <row r="1">
      <c r="A1" s="1" t="s">
        <v>0</v>
      </c>
      <c r="B1" s="2"/>
      <c r="C1" s="2"/>
      <c r="D1" s="2"/>
      <c r="E1" s="2"/>
      <c r="F1" s="2"/>
      <c r="G1" s="3"/>
      <c r="H1" s="4"/>
      <c r="I1" s="4"/>
      <c r="J1" s="4"/>
      <c r="K1" s="4"/>
      <c r="L1" s="4"/>
      <c r="M1" s="4"/>
      <c r="N1" s="4"/>
      <c r="O1" s="4"/>
      <c r="P1" s="4"/>
      <c r="Q1" s="4"/>
      <c r="R1" s="4"/>
      <c r="S1" s="4"/>
      <c r="T1" s="4"/>
      <c r="U1" s="4"/>
      <c r="V1" s="4"/>
      <c r="W1" s="4"/>
      <c r="X1" s="4"/>
      <c r="Y1" s="4"/>
    </row>
    <row r="2">
      <c r="A2" s="5" t="s">
        <v>1</v>
      </c>
      <c r="B2" s="6" t="s">
        <v>2</v>
      </c>
      <c r="C2" s="7"/>
      <c r="D2" s="7"/>
      <c r="E2" s="7"/>
      <c r="F2" s="7"/>
      <c r="G2" s="8"/>
      <c r="H2" s="4"/>
      <c r="I2" s="4"/>
      <c r="J2" s="4"/>
      <c r="K2" s="4"/>
      <c r="L2" s="4"/>
      <c r="M2" s="4"/>
      <c r="N2" s="4"/>
      <c r="O2" s="4"/>
      <c r="P2" s="4"/>
      <c r="Q2" s="4"/>
      <c r="R2" s="4"/>
      <c r="S2" s="4"/>
      <c r="T2" s="4"/>
      <c r="U2" s="4"/>
      <c r="V2" s="4"/>
      <c r="W2" s="4"/>
      <c r="X2" s="4"/>
      <c r="Y2" s="4"/>
    </row>
    <row r="3" ht="39.0" customHeight="1">
      <c r="A3" s="5" t="s">
        <v>3</v>
      </c>
      <c r="B3" s="9" t="s">
        <v>4</v>
      </c>
      <c r="C3" s="7"/>
      <c r="D3" s="7"/>
      <c r="E3" s="7"/>
      <c r="F3" s="7"/>
      <c r="G3" s="8"/>
      <c r="H3" s="4"/>
      <c r="I3" s="4"/>
      <c r="J3" s="4"/>
      <c r="K3" s="4"/>
      <c r="L3" s="4"/>
      <c r="M3" s="4"/>
      <c r="N3" s="4"/>
      <c r="O3" s="4"/>
      <c r="P3" s="4"/>
      <c r="Q3" s="4"/>
      <c r="R3" s="4"/>
      <c r="S3" s="4"/>
      <c r="T3" s="4"/>
      <c r="U3" s="4"/>
      <c r="V3" s="4"/>
      <c r="W3" s="4"/>
      <c r="X3" s="4"/>
      <c r="Y3" s="4"/>
    </row>
    <row r="4" ht="39.0" customHeight="1">
      <c r="A4" s="5" t="s">
        <v>5</v>
      </c>
      <c r="B4" s="6" t="s">
        <v>6</v>
      </c>
      <c r="C4" s="7"/>
      <c r="D4" s="7"/>
      <c r="E4" s="7"/>
      <c r="F4" s="7"/>
      <c r="G4" s="8"/>
      <c r="H4" s="4"/>
      <c r="I4" s="4"/>
      <c r="J4" s="4"/>
      <c r="K4" s="4"/>
      <c r="L4" s="4"/>
      <c r="M4" s="4"/>
      <c r="N4" s="4"/>
      <c r="O4" s="4"/>
      <c r="P4" s="4"/>
      <c r="Q4" s="4"/>
      <c r="R4" s="4"/>
      <c r="S4" s="4"/>
      <c r="T4" s="4"/>
      <c r="U4" s="4"/>
      <c r="V4" s="4"/>
      <c r="W4" s="4"/>
      <c r="X4" s="4"/>
      <c r="Y4" s="4"/>
    </row>
    <row r="5">
      <c r="A5" s="5" t="s">
        <v>7</v>
      </c>
      <c r="B5" s="9" t="s">
        <v>8</v>
      </c>
      <c r="C5" s="7"/>
      <c r="D5" s="7"/>
      <c r="E5" s="7"/>
      <c r="F5" s="7"/>
      <c r="G5" s="8"/>
      <c r="H5" s="10"/>
      <c r="I5" s="10"/>
      <c r="J5" s="10"/>
      <c r="K5" s="10"/>
      <c r="L5" s="10"/>
      <c r="M5" s="10"/>
      <c r="N5" s="10"/>
      <c r="O5" s="10"/>
      <c r="P5" s="10"/>
      <c r="Q5" s="10"/>
      <c r="R5" s="10"/>
      <c r="S5" s="10"/>
      <c r="T5" s="10"/>
      <c r="U5" s="10"/>
      <c r="V5" s="10"/>
      <c r="W5" s="10"/>
      <c r="X5" s="10"/>
      <c r="Y5" s="10"/>
    </row>
    <row r="6">
      <c r="A6" s="11" t="s">
        <v>9</v>
      </c>
      <c r="B6" s="12" t="s">
        <v>10</v>
      </c>
      <c r="C6" s="7"/>
      <c r="D6" s="7"/>
      <c r="E6" s="7"/>
      <c r="F6" s="7"/>
      <c r="G6" s="8"/>
      <c r="H6" s="10"/>
      <c r="I6" s="10"/>
      <c r="J6" s="10"/>
      <c r="K6" s="10"/>
      <c r="L6" s="10"/>
      <c r="M6" s="10"/>
      <c r="N6" s="10"/>
      <c r="O6" s="10"/>
      <c r="P6" s="10"/>
      <c r="Q6" s="10"/>
      <c r="R6" s="10"/>
      <c r="S6" s="10"/>
      <c r="T6" s="10"/>
      <c r="U6" s="10"/>
      <c r="V6" s="10"/>
      <c r="W6" s="10"/>
      <c r="X6" s="10"/>
      <c r="Y6" s="10"/>
    </row>
    <row r="7">
      <c r="A7" s="13" t="s">
        <v>11</v>
      </c>
      <c r="B7" s="14" t="s">
        <v>12</v>
      </c>
      <c r="C7" s="7"/>
      <c r="D7" s="7"/>
      <c r="E7" s="7"/>
      <c r="F7" s="7"/>
      <c r="G7" s="8"/>
      <c r="H7" s="10"/>
      <c r="I7" s="10"/>
      <c r="J7" s="10"/>
      <c r="K7" s="10"/>
      <c r="L7" s="10"/>
      <c r="M7" s="10"/>
      <c r="N7" s="10"/>
      <c r="O7" s="10"/>
      <c r="P7" s="10"/>
      <c r="Q7" s="10"/>
      <c r="R7" s="10"/>
      <c r="S7" s="10"/>
      <c r="T7" s="10"/>
      <c r="U7" s="10"/>
      <c r="V7" s="10"/>
      <c r="W7" s="10"/>
      <c r="X7" s="10"/>
      <c r="Y7" s="10"/>
    </row>
    <row r="8">
      <c r="A8" s="15" t="s">
        <v>13</v>
      </c>
      <c r="B8" s="16" t="s">
        <v>14</v>
      </c>
      <c r="C8" s="7"/>
      <c r="D8" s="7"/>
      <c r="E8" s="7"/>
      <c r="F8" s="7"/>
      <c r="G8" s="8"/>
      <c r="H8" s="10"/>
      <c r="I8" s="10"/>
      <c r="J8" s="10"/>
      <c r="K8" s="10"/>
      <c r="L8" s="10"/>
      <c r="M8" s="10"/>
      <c r="N8" s="10"/>
      <c r="O8" s="10"/>
      <c r="P8" s="10"/>
      <c r="Q8" s="10"/>
      <c r="R8" s="10"/>
      <c r="S8" s="10"/>
      <c r="T8" s="10"/>
      <c r="U8" s="10"/>
      <c r="V8" s="10"/>
      <c r="W8" s="10"/>
      <c r="X8" s="10"/>
      <c r="Y8" s="10"/>
    </row>
    <row r="9">
      <c r="A9" s="17" t="s">
        <v>15</v>
      </c>
      <c r="B9" s="18" t="s">
        <v>16</v>
      </c>
      <c r="C9" s="7"/>
      <c r="D9" s="7"/>
      <c r="E9" s="7"/>
      <c r="F9" s="7"/>
      <c r="G9" s="8"/>
      <c r="H9" s="10"/>
      <c r="I9" s="10"/>
      <c r="J9" s="10"/>
      <c r="K9" s="10"/>
      <c r="L9" s="10"/>
      <c r="M9" s="10"/>
      <c r="N9" s="10"/>
      <c r="O9" s="10"/>
      <c r="P9" s="10"/>
      <c r="Q9" s="10"/>
      <c r="R9" s="10"/>
      <c r="S9" s="10"/>
      <c r="T9" s="10"/>
      <c r="U9" s="10"/>
      <c r="V9" s="10"/>
      <c r="W9" s="10"/>
      <c r="X9" s="10"/>
      <c r="Y9" s="10"/>
    </row>
    <row r="10" ht="31.5" customHeight="1">
      <c r="A10" s="19" t="s">
        <v>17</v>
      </c>
      <c r="B10" s="20" t="s">
        <v>18</v>
      </c>
      <c r="C10" s="7"/>
      <c r="D10" s="7"/>
      <c r="E10" s="7"/>
      <c r="F10" s="7"/>
      <c r="G10" s="8"/>
      <c r="H10" s="10"/>
      <c r="I10" s="10"/>
      <c r="J10" s="10"/>
      <c r="K10" s="10"/>
      <c r="L10" s="10"/>
      <c r="M10" s="10"/>
      <c r="N10" s="10"/>
      <c r="O10" s="10"/>
      <c r="P10" s="10"/>
      <c r="Q10" s="10"/>
      <c r="R10" s="10"/>
      <c r="S10" s="10"/>
      <c r="T10" s="10"/>
      <c r="U10" s="10"/>
      <c r="V10" s="10"/>
      <c r="W10" s="10"/>
      <c r="X10" s="10"/>
      <c r="Y10" s="10"/>
    </row>
    <row r="11" ht="21.0" customHeight="1">
      <c r="A11" s="21" t="s">
        <v>19</v>
      </c>
      <c r="B11" s="22" t="s">
        <v>20</v>
      </c>
      <c r="C11" s="7"/>
      <c r="D11" s="7"/>
      <c r="E11" s="7"/>
      <c r="F11" s="7"/>
      <c r="G11" s="8"/>
      <c r="H11" s="10"/>
      <c r="I11" s="10"/>
      <c r="J11" s="10"/>
      <c r="K11" s="10"/>
      <c r="L11" s="10"/>
      <c r="M11" s="10"/>
      <c r="N11" s="10"/>
      <c r="O11" s="10"/>
      <c r="P11" s="10"/>
      <c r="Q11" s="10"/>
      <c r="R11" s="10"/>
      <c r="S11" s="10"/>
      <c r="T11" s="10"/>
      <c r="U11" s="10"/>
      <c r="V11" s="10"/>
      <c r="W11" s="10"/>
      <c r="X11" s="10"/>
      <c r="Y11" s="10"/>
    </row>
    <row r="12">
      <c r="A12" s="23" t="s">
        <v>21</v>
      </c>
      <c r="B12" s="24" t="s">
        <v>22</v>
      </c>
      <c r="C12" s="7"/>
      <c r="D12" s="7"/>
      <c r="E12" s="7"/>
      <c r="F12" s="7"/>
      <c r="G12" s="8"/>
      <c r="H12" s="4"/>
      <c r="I12" s="4"/>
      <c r="J12" s="4"/>
      <c r="K12" s="4"/>
      <c r="L12" s="4"/>
      <c r="M12" s="4"/>
      <c r="N12" s="4"/>
      <c r="O12" s="4"/>
      <c r="P12" s="4"/>
      <c r="Q12" s="4"/>
      <c r="R12" s="4"/>
      <c r="S12" s="4"/>
      <c r="T12" s="4"/>
      <c r="U12" s="4"/>
      <c r="V12" s="4"/>
      <c r="W12" s="4"/>
      <c r="X12" s="4"/>
      <c r="Y12" s="4"/>
    </row>
    <row r="13">
      <c r="A13" s="23" t="s">
        <v>23</v>
      </c>
      <c r="B13" s="24" t="s">
        <v>24</v>
      </c>
      <c r="C13" s="7"/>
      <c r="D13" s="7"/>
      <c r="E13" s="7"/>
      <c r="F13" s="7"/>
      <c r="G13" s="8"/>
      <c r="H13" s="4"/>
      <c r="I13" s="4"/>
      <c r="J13" s="4"/>
      <c r="K13" s="4"/>
      <c r="L13" s="4"/>
      <c r="M13" s="4"/>
      <c r="N13" s="4"/>
      <c r="O13" s="4"/>
      <c r="P13" s="4"/>
      <c r="Q13" s="4"/>
      <c r="R13" s="4"/>
      <c r="S13" s="4"/>
      <c r="T13" s="4"/>
      <c r="U13" s="4"/>
      <c r="V13" s="4"/>
      <c r="W13" s="4"/>
      <c r="X13" s="4"/>
      <c r="Y13" s="4"/>
    </row>
    <row r="14" ht="27.0" customHeight="1">
      <c r="A14" s="23" t="s">
        <v>25</v>
      </c>
      <c r="B14" s="24" t="s">
        <v>26</v>
      </c>
      <c r="C14" s="7"/>
      <c r="D14" s="7"/>
      <c r="E14" s="7"/>
      <c r="F14" s="7"/>
      <c r="G14" s="8"/>
      <c r="H14" s="4"/>
      <c r="I14" s="4"/>
      <c r="J14" s="4"/>
      <c r="K14" s="4"/>
      <c r="L14" s="4"/>
      <c r="M14" s="4"/>
      <c r="N14" s="4"/>
      <c r="O14" s="4"/>
      <c r="P14" s="4"/>
      <c r="Q14" s="4"/>
      <c r="R14" s="4"/>
      <c r="S14" s="4"/>
      <c r="T14" s="4"/>
      <c r="U14" s="4"/>
      <c r="V14" s="4"/>
      <c r="W14" s="4"/>
      <c r="X14" s="4"/>
      <c r="Y14" s="4"/>
    </row>
    <row r="15">
      <c r="A15" s="23" t="s">
        <v>27</v>
      </c>
      <c r="B15" s="9" t="s">
        <v>28</v>
      </c>
      <c r="C15" s="7"/>
      <c r="D15" s="7"/>
      <c r="E15" s="7"/>
      <c r="F15" s="7"/>
      <c r="G15" s="8"/>
      <c r="H15" s="4"/>
      <c r="I15" s="4"/>
      <c r="J15" s="4"/>
      <c r="K15" s="4"/>
      <c r="L15" s="4"/>
      <c r="M15" s="4"/>
      <c r="N15" s="4"/>
      <c r="O15" s="4"/>
      <c r="P15" s="4"/>
      <c r="Q15" s="4"/>
      <c r="R15" s="4"/>
      <c r="S15" s="4"/>
      <c r="T15" s="4"/>
      <c r="U15" s="4"/>
      <c r="V15" s="4"/>
      <c r="W15" s="4"/>
      <c r="X15" s="4"/>
      <c r="Y15" s="4"/>
    </row>
    <row r="16" ht="27.0" customHeight="1">
      <c r="A16" s="23" t="s">
        <v>29</v>
      </c>
      <c r="B16" s="24" t="s">
        <v>30</v>
      </c>
      <c r="C16" s="7"/>
      <c r="D16" s="7"/>
      <c r="E16" s="7"/>
      <c r="F16" s="7"/>
      <c r="G16" s="8"/>
      <c r="H16" s="4"/>
      <c r="I16" s="4"/>
      <c r="J16" s="4"/>
      <c r="K16" s="4"/>
      <c r="L16" s="4"/>
      <c r="M16" s="4"/>
      <c r="N16" s="4"/>
      <c r="O16" s="4"/>
      <c r="P16" s="4"/>
      <c r="Q16" s="4"/>
      <c r="R16" s="4"/>
      <c r="S16" s="4"/>
      <c r="T16" s="4"/>
      <c r="U16" s="4"/>
      <c r="V16" s="4"/>
      <c r="W16" s="4"/>
      <c r="X16" s="4"/>
      <c r="Y16" s="4"/>
    </row>
    <row r="17">
      <c r="A17" s="21" t="s">
        <v>31</v>
      </c>
      <c r="B17" s="22" t="s">
        <v>32</v>
      </c>
      <c r="C17" s="7"/>
      <c r="D17" s="7"/>
      <c r="E17" s="7"/>
      <c r="F17" s="7"/>
      <c r="G17" s="8"/>
    </row>
    <row r="18">
      <c r="A18" s="25" t="s">
        <v>33</v>
      </c>
      <c r="B18" s="26" t="s">
        <v>34</v>
      </c>
      <c r="C18" s="7"/>
      <c r="D18" s="7"/>
      <c r="E18" s="7"/>
      <c r="F18" s="7"/>
      <c r="G18" s="8"/>
    </row>
    <row r="19">
      <c r="A19" s="25" t="s">
        <v>35</v>
      </c>
      <c r="B19" s="26" t="s">
        <v>36</v>
      </c>
      <c r="C19" s="7"/>
      <c r="D19" s="7"/>
      <c r="E19" s="7"/>
      <c r="F19" s="7"/>
      <c r="G19" s="8"/>
    </row>
    <row r="20">
      <c r="A20" s="25" t="s">
        <v>37</v>
      </c>
      <c r="B20" s="26" t="s">
        <v>38</v>
      </c>
      <c r="C20" s="7"/>
      <c r="D20" s="7"/>
      <c r="E20" s="7"/>
      <c r="F20" s="7"/>
      <c r="G20" s="8"/>
    </row>
    <row r="21">
      <c r="A21" s="25" t="s">
        <v>39</v>
      </c>
      <c r="B21" s="26" t="s">
        <v>40</v>
      </c>
      <c r="C21" s="7"/>
      <c r="D21" s="7"/>
      <c r="E21" s="7"/>
      <c r="F21" s="7"/>
      <c r="G21" s="8"/>
    </row>
    <row r="22">
      <c r="A22" s="25" t="s">
        <v>41</v>
      </c>
      <c r="B22" s="26" t="s">
        <v>42</v>
      </c>
      <c r="C22" s="7"/>
      <c r="D22" s="7"/>
      <c r="E22" s="7"/>
      <c r="F22" s="7"/>
      <c r="G22" s="8"/>
    </row>
    <row r="23">
      <c r="A23" s="27" t="s">
        <v>43</v>
      </c>
      <c r="B23" s="28" t="s">
        <v>44</v>
      </c>
      <c r="C23" s="7"/>
      <c r="D23" s="7"/>
      <c r="E23" s="7"/>
      <c r="F23" s="7"/>
      <c r="G23" s="8"/>
    </row>
    <row r="24">
      <c r="A24" s="25" t="s">
        <v>45</v>
      </c>
      <c r="B24" s="26" t="s">
        <v>46</v>
      </c>
      <c r="C24" s="7"/>
      <c r="D24" s="7"/>
      <c r="E24" s="7"/>
      <c r="F24" s="7"/>
      <c r="G24" s="8"/>
    </row>
    <row r="25">
      <c r="A25" s="25" t="s">
        <v>47</v>
      </c>
      <c r="B25" s="26" t="s">
        <v>48</v>
      </c>
      <c r="C25" s="7"/>
      <c r="D25" s="7"/>
      <c r="E25" s="7"/>
      <c r="F25" s="7"/>
      <c r="G25" s="8"/>
    </row>
    <row r="26">
      <c r="A26" s="25" t="s">
        <v>49</v>
      </c>
      <c r="B26" s="26" t="s">
        <v>50</v>
      </c>
      <c r="C26" s="7"/>
      <c r="D26" s="7"/>
      <c r="E26" s="7"/>
      <c r="F26" s="7"/>
      <c r="G26" s="8"/>
    </row>
    <row r="27">
      <c r="A27" s="25" t="s">
        <v>51</v>
      </c>
      <c r="B27" s="26" t="s">
        <v>52</v>
      </c>
      <c r="C27" s="7"/>
      <c r="D27" s="7"/>
      <c r="E27" s="7"/>
      <c r="F27" s="7"/>
      <c r="G27" s="8"/>
    </row>
  </sheetData>
  <mergeCells count="27">
    <mergeCell ref="A1:G1"/>
    <mergeCell ref="B2:G2"/>
    <mergeCell ref="B3:G3"/>
    <mergeCell ref="B4:G4"/>
    <mergeCell ref="B5:G5"/>
    <mergeCell ref="B6:G6"/>
    <mergeCell ref="B7:G7"/>
    <mergeCell ref="B8:G8"/>
    <mergeCell ref="B9:G9"/>
    <mergeCell ref="B10:G10"/>
    <mergeCell ref="B11:G11"/>
    <mergeCell ref="B12:G12"/>
    <mergeCell ref="B13:G13"/>
    <mergeCell ref="B14:G14"/>
    <mergeCell ref="B22:G22"/>
    <mergeCell ref="B23:G23"/>
    <mergeCell ref="B24:G24"/>
    <mergeCell ref="B25:G25"/>
    <mergeCell ref="B26:G26"/>
    <mergeCell ref="B27:G27"/>
    <mergeCell ref="B15:G15"/>
    <mergeCell ref="B16:G16"/>
    <mergeCell ref="B17:G17"/>
    <mergeCell ref="B18:G18"/>
    <mergeCell ref="B19:G19"/>
    <mergeCell ref="B20:G20"/>
    <mergeCell ref="B21:G21"/>
  </mergeCells>
  <hyperlinks>
    <hyperlink r:id="rId1" ref="B18"/>
    <hyperlink r:id="rId2" ref="B19"/>
    <hyperlink r:id="rId3" ref="B20"/>
    <hyperlink r:id="rId4" ref="B21"/>
    <hyperlink r:id="rId5" ref="B22"/>
    <hyperlink r:id="rId6" ref="B23"/>
    <hyperlink r:id="rId7" ref="B24"/>
    <hyperlink r:id="rId8" ref="B25"/>
    <hyperlink r:id="rId9" ref="B26"/>
    <hyperlink r:id="rId10" ref="B27"/>
  </hyperlinks>
  <printOptions horizontalCentered="1"/>
  <pageMargins bottom="1.0" footer="0.0" header="0.0" left="1.0" right="1.0" top="1.0"/>
  <pageSetup paperSize="9" orientation="portrait" pageOrder="overThenDown"/>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0.25"/>
    <col customWidth="1" min="2" max="2" width="9.0"/>
    <col customWidth="1" min="3" max="3" width="5.63"/>
    <col customWidth="1" min="4" max="4" width="22.38"/>
    <col customWidth="1" min="5" max="5" width="7.0"/>
    <col customWidth="1" hidden="1" min="6" max="6" width="6.0"/>
    <col customWidth="1" hidden="1" min="7" max="7" width="7.63"/>
    <col customWidth="1" hidden="1" min="8" max="8" width="13.13"/>
    <col customWidth="1" hidden="1" min="9" max="10" width="6.0"/>
    <col customWidth="1" min="11" max="11" width="7.0"/>
    <col customWidth="1" min="12" max="13" width="6.38"/>
    <col customWidth="1" min="14" max="14" width="9.0"/>
    <col customWidth="1" min="15" max="15" width="11.75"/>
    <col customWidth="1" min="16" max="17" width="9.0"/>
    <col customWidth="1" min="18" max="18" width="22.75"/>
    <col customWidth="1" min="19" max="19" width="17.0"/>
    <col customWidth="1" hidden="1" min="20" max="20" width="13.0"/>
  </cols>
  <sheetData>
    <row r="1">
      <c r="A1" s="29" t="s">
        <v>53</v>
      </c>
    </row>
    <row r="2">
      <c r="A2" s="30" t="s">
        <v>54</v>
      </c>
    </row>
    <row r="3">
      <c r="A3" s="1" t="s">
        <v>55</v>
      </c>
      <c r="B3" s="2"/>
      <c r="C3" s="2"/>
      <c r="D3" s="2"/>
      <c r="E3" s="2"/>
      <c r="F3" s="2"/>
      <c r="G3" s="2"/>
      <c r="H3" s="2"/>
      <c r="I3" s="2"/>
      <c r="J3" s="2"/>
      <c r="K3" s="2"/>
      <c r="L3" s="2"/>
      <c r="M3" s="2"/>
      <c r="N3" s="2"/>
      <c r="O3" s="2"/>
      <c r="P3" s="2"/>
      <c r="Q3" s="2"/>
      <c r="R3" s="2"/>
      <c r="S3" s="2"/>
      <c r="T3" s="3"/>
    </row>
    <row r="4">
      <c r="A4" s="31" t="s">
        <v>56</v>
      </c>
      <c r="B4" s="31" t="s">
        <v>57</v>
      </c>
      <c r="C4" s="31" t="s">
        <v>58</v>
      </c>
      <c r="D4" s="31" t="s">
        <v>59</v>
      </c>
      <c r="E4" s="31" t="s">
        <v>60</v>
      </c>
      <c r="F4" s="31" t="s">
        <v>61</v>
      </c>
      <c r="G4" s="31" t="s">
        <v>62</v>
      </c>
      <c r="H4" s="31" t="s">
        <v>63</v>
      </c>
      <c r="I4" s="31" t="s">
        <v>64</v>
      </c>
      <c r="J4" s="31" t="s">
        <v>65</v>
      </c>
      <c r="K4" s="31" t="s">
        <v>66</v>
      </c>
      <c r="L4" s="31" t="s">
        <v>67</v>
      </c>
      <c r="M4" s="31" t="s">
        <v>68</v>
      </c>
      <c r="N4" s="31" t="s">
        <v>69</v>
      </c>
      <c r="O4" s="31" t="s">
        <v>70</v>
      </c>
      <c r="P4" s="31" t="s">
        <v>71</v>
      </c>
      <c r="Q4" s="31" t="s">
        <v>72</v>
      </c>
      <c r="R4" s="31" t="s">
        <v>73</v>
      </c>
      <c r="S4" s="31" t="s">
        <v>74</v>
      </c>
      <c r="T4" s="31" t="s">
        <v>75</v>
      </c>
      <c r="U4" s="32"/>
      <c r="V4" s="32"/>
      <c r="W4" s="32"/>
      <c r="X4" s="32"/>
      <c r="Y4" s="32"/>
      <c r="Z4" s="32"/>
      <c r="AA4" s="32"/>
      <c r="AB4" s="32"/>
      <c r="AC4" s="32"/>
      <c r="AD4" s="32"/>
      <c r="AE4" s="32"/>
      <c r="AF4" s="32"/>
      <c r="AG4" s="32"/>
      <c r="AH4" s="32"/>
    </row>
    <row r="5">
      <c r="A5" s="33" t="s">
        <v>9</v>
      </c>
      <c r="B5" s="34">
        <f t="shared" ref="B5:B109" si="1">K5+L5/100</f>
        <v>2.9</v>
      </c>
      <c r="C5" s="33" t="str">
        <f t="shared" ref="C5:C12" si="2">IF(B5&lt;25,"0",If(B5&lt;45,"1",If(B5&lt;75,"2",If(B5&lt;115,"3",If(B5&lt;155,"4",If(B5&lt;210,"5","6"))))))</f>
        <v>0</v>
      </c>
      <c r="D5" s="11" t="s">
        <v>76</v>
      </c>
      <c r="E5" s="33">
        <v>1.0</v>
      </c>
      <c r="F5" s="33"/>
      <c r="G5" s="33"/>
      <c r="H5" s="33"/>
      <c r="I5" s="33"/>
      <c r="J5" s="33"/>
      <c r="K5" s="35">
        <v>1.6</v>
      </c>
      <c r="L5" s="33">
        <v>130.0</v>
      </c>
      <c r="M5" s="33">
        <v>130.0</v>
      </c>
      <c r="N5" s="36">
        <v>0.034722222222222224</v>
      </c>
      <c r="O5" s="37">
        <v>0.013888888888888888</v>
      </c>
      <c r="P5" s="35">
        <v>8.7</v>
      </c>
      <c r="Q5" s="35">
        <v>8.7</v>
      </c>
      <c r="R5" s="33" t="s">
        <v>77</v>
      </c>
      <c r="S5" s="38" t="s">
        <v>78</v>
      </c>
      <c r="T5" s="38"/>
      <c r="V5" s="32"/>
      <c r="W5" s="32"/>
      <c r="X5" s="32"/>
      <c r="Y5" s="32"/>
      <c r="Z5" s="32"/>
      <c r="AA5" s="32"/>
      <c r="AB5" s="32"/>
      <c r="AC5" s="32"/>
      <c r="AD5" s="32"/>
      <c r="AE5" s="32"/>
      <c r="AF5" s="32"/>
      <c r="AG5" s="32"/>
      <c r="AH5" s="32"/>
    </row>
    <row r="6">
      <c r="A6" s="33" t="s">
        <v>9</v>
      </c>
      <c r="B6" s="34">
        <f t="shared" si="1"/>
        <v>5.1</v>
      </c>
      <c r="C6" s="33" t="str">
        <f t="shared" si="2"/>
        <v>0</v>
      </c>
      <c r="D6" s="11" t="s">
        <v>79</v>
      </c>
      <c r="E6" s="33">
        <v>1.0</v>
      </c>
      <c r="F6" s="33"/>
      <c r="G6" s="33"/>
      <c r="H6" s="33"/>
      <c r="I6" s="33"/>
      <c r="J6" s="33"/>
      <c r="K6" s="35">
        <v>2.1</v>
      </c>
      <c r="L6" s="33">
        <v>300.0</v>
      </c>
      <c r="M6" s="33">
        <v>300.0</v>
      </c>
      <c r="N6" s="36">
        <v>0.09722222222222222</v>
      </c>
      <c r="O6" s="37">
        <v>0.04861111111111111</v>
      </c>
      <c r="P6" s="35">
        <v>4.4</v>
      </c>
      <c r="Q6" s="35">
        <v>4.4</v>
      </c>
      <c r="R6" s="33" t="s">
        <v>77</v>
      </c>
      <c r="S6" s="38" t="s">
        <v>78</v>
      </c>
      <c r="T6" s="38"/>
      <c r="V6" s="32"/>
      <c r="W6" s="32"/>
      <c r="X6" s="32"/>
      <c r="Y6" s="32"/>
      <c r="Z6" s="32"/>
      <c r="AA6" s="32"/>
      <c r="AB6" s="32"/>
      <c r="AC6" s="32"/>
      <c r="AD6" s="32"/>
      <c r="AE6" s="32"/>
      <c r="AF6" s="32"/>
      <c r="AG6" s="32"/>
      <c r="AH6" s="32"/>
    </row>
    <row r="7">
      <c r="A7" s="33" t="s">
        <v>9</v>
      </c>
      <c r="B7" s="34">
        <f t="shared" si="1"/>
        <v>6.5</v>
      </c>
      <c r="C7" s="33" t="str">
        <f t="shared" si="2"/>
        <v>0</v>
      </c>
      <c r="D7" s="11" t="s">
        <v>80</v>
      </c>
      <c r="E7" s="33">
        <v>1.0</v>
      </c>
      <c r="F7" s="33"/>
      <c r="G7" s="33"/>
      <c r="H7" s="33"/>
      <c r="I7" s="33"/>
      <c r="J7" s="33"/>
      <c r="K7" s="35">
        <v>3.6</v>
      </c>
      <c r="L7" s="33">
        <v>290.0</v>
      </c>
      <c r="M7" s="33">
        <v>290.0</v>
      </c>
      <c r="N7" s="36">
        <v>0.0625</v>
      </c>
      <c r="O7" s="37">
        <v>0.03125</v>
      </c>
      <c r="P7" s="35">
        <v>8.7</v>
      </c>
      <c r="Q7" s="35">
        <v>8.7</v>
      </c>
      <c r="R7" s="33" t="s">
        <v>77</v>
      </c>
      <c r="S7" s="38" t="s">
        <v>78</v>
      </c>
      <c r="T7" s="38"/>
      <c r="V7" s="32"/>
      <c r="W7" s="32"/>
      <c r="X7" s="32"/>
      <c r="Y7" s="32"/>
      <c r="Z7" s="32"/>
      <c r="AA7" s="32"/>
      <c r="AB7" s="32"/>
      <c r="AC7" s="32"/>
      <c r="AD7" s="32"/>
      <c r="AE7" s="32"/>
      <c r="AF7" s="32"/>
      <c r="AG7" s="32"/>
      <c r="AH7" s="32"/>
    </row>
    <row r="8">
      <c r="A8" s="33" t="s">
        <v>9</v>
      </c>
      <c r="B8" s="34">
        <f t="shared" si="1"/>
        <v>7.7</v>
      </c>
      <c r="C8" s="33" t="str">
        <f t="shared" si="2"/>
        <v>0</v>
      </c>
      <c r="D8" s="11" t="s">
        <v>81</v>
      </c>
      <c r="E8" s="33">
        <v>1.0</v>
      </c>
      <c r="F8" s="33"/>
      <c r="G8" s="33"/>
      <c r="H8" s="33"/>
      <c r="I8" s="33"/>
      <c r="J8" s="33"/>
      <c r="K8" s="35">
        <v>3.3</v>
      </c>
      <c r="L8" s="33">
        <v>440.0</v>
      </c>
      <c r="M8" s="33">
        <v>440.0</v>
      </c>
      <c r="N8" s="36">
        <v>0.1284722222222222</v>
      </c>
      <c r="O8" s="37">
        <v>0.041666666666666664</v>
      </c>
      <c r="P8" s="35" t="s">
        <v>77</v>
      </c>
      <c r="Q8" s="35" t="s">
        <v>77</v>
      </c>
      <c r="R8" s="33" t="s">
        <v>77</v>
      </c>
      <c r="S8" s="38" t="s">
        <v>82</v>
      </c>
      <c r="T8" s="38"/>
      <c r="V8" s="32"/>
      <c r="W8" s="32"/>
      <c r="X8" s="32"/>
      <c r="Y8" s="32"/>
      <c r="Z8" s="32"/>
      <c r="AA8" s="32"/>
      <c r="AB8" s="32"/>
      <c r="AC8" s="32"/>
      <c r="AD8" s="32"/>
      <c r="AE8" s="32"/>
      <c r="AF8" s="32"/>
      <c r="AG8" s="32"/>
      <c r="AH8" s="32"/>
    </row>
    <row r="9">
      <c r="A9" s="33" t="s">
        <v>9</v>
      </c>
      <c r="B9" s="34">
        <f t="shared" si="1"/>
        <v>8.7</v>
      </c>
      <c r="C9" s="33" t="str">
        <f t="shared" si="2"/>
        <v>0</v>
      </c>
      <c r="D9" s="11" t="s">
        <v>83</v>
      </c>
      <c r="E9" s="33">
        <v>1.0</v>
      </c>
      <c r="F9" s="33"/>
      <c r="G9" s="33"/>
      <c r="H9" s="33"/>
      <c r="I9" s="33"/>
      <c r="J9" s="33"/>
      <c r="K9" s="35">
        <v>4.0</v>
      </c>
      <c r="L9" s="33">
        <v>470.0</v>
      </c>
      <c r="M9" s="33">
        <v>470.0</v>
      </c>
      <c r="N9" s="36">
        <v>0.125</v>
      </c>
      <c r="O9" s="37">
        <v>0.0625</v>
      </c>
      <c r="P9" s="35">
        <v>5.8</v>
      </c>
      <c r="Q9" s="35">
        <v>5.8</v>
      </c>
      <c r="R9" s="33" t="s">
        <v>77</v>
      </c>
      <c r="S9" s="38" t="s">
        <v>78</v>
      </c>
      <c r="T9" s="38"/>
      <c r="V9" s="32"/>
      <c r="W9" s="32"/>
      <c r="X9" s="32"/>
      <c r="Y9" s="32"/>
      <c r="Z9" s="32"/>
      <c r="AA9" s="32"/>
      <c r="AB9" s="32"/>
      <c r="AC9" s="32"/>
      <c r="AD9" s="32"/>
      <c r="AE9" s="32"/>
      <c r="AF9" s="32"/>
      <c r="AG9" s="32"/>
      <c r="AH9" s="32"/>
    </row>
    <row r="10">
      <c r="A10" s="33" t="s">
        <v>9</v>
      </c>
      <c r="B10" s="34">
        <f t="shared" si="1"/>
        <v>10.82</v>
      </c>
      <c r="C10" s="33" t="str">
        <f t="shared" si="2"/>
        <v>0</v>
      </c>
      <c r="D10" s="11" t="s">
        <v>84</v>
      </c>
      <c r="E10" s="33">
        <v>1.0</v>
      </c>
      <c r="F10" s="33"/>
      <c r="G10" s="33"/>
      <c r="H10" s="33"/>
      <c r="I10" s="33"/>
      <c r="J10" s="33"/>
      <c r="K10" s="35">
        <v>4.4</v>
      </c>
      <c r="L10" s="33">
        <v>642.0</v>
      </c>
      <c r="M10" s="33">
        <v>642.0</v>
      </c>
      <c r="N10" s="36">
        <v>0.13541666666666666</v>
      </c>
      <c r="O10" s="37">
        <v>0.041666666666666664</v>
      </c>
      <c r="P10" s="35" t="s">
        <v>77</v>
      </c>
      <c r="Q10" s="35" t="s">
        <v>77</v>
      </c>
      <c r="R10" s="33" t="s">
        <v>77</v>
      </c>
      <c r="S10" s="38" t="s">
        <v>82</v>
      </c>
      <c r="T10" s="38"/>
      <c r="V10" s="32"/>
      <c r="W10" s="32"/>
      <c r="X10" s="32"/>
      <c r="Y10" s="32"/>
      <c r="Z10" s="32"/>
      <c r="AA10" s="32"/>
      <c r="AB10" s="32"/>
      <c r="AC10" s="32"/>
      <c r="AD10" s="32"/>
      <c r="AE10" s="32"/>
      <c r="AF10" s="32"/>
      <c r="AG10" s="32"/>
      <c r="AH10" s="32"/>
    </row>
    <row r="11">
      <c r="A11" s="33" t="s">
        <v>9</v>
      </c>
      <c r="B11" s="34">
        <f t="shared" si="1"/>
        <v>15.45</v>
      </c>
      <c r="C11" s="33" t="str">
        <f t="shared" si="2"/>
        <v>0</v>
      </c>
      <c r="D11" s="11" t="s">
        <v>85</v>
      </c>
      <c r="E11" s="33">
        <v>1.0</v>
      </c>
      <c r="F11" s="33">
        <v>2.0</v>
      </c>
      <c r="G11" s="33" t="s">
        <v>86</v>
      </c>
      <c r="H11" s="33" t="s">
        <v>87</v>
      </c>
      <c r="I11" s="33" t="s">
        <v>87</v>
      </c>
      <c r="J11" s="33" t="s">
        <v>88</v>
      </c>
      <c r="K11" s="35">
        <v>9.2</v>
      </c>
      <c r="L11" s="33">
        <v>625.0</v>
      </c>
      <c r="M11" s="33">
        <v>625.0</v>
      </c>
      <c r="N11" s="36">
        <v>0.23958333333333334</v>
      </c>
      <c r="O11" s="37">
        <v>0.16527777777777777</v>
      </c>
      <c r="P11" s="35">
        <v>3.9</v>
      </c>
      <c r="Q11" s="35">
        <v>4.7</v>
      </c>
      <c r="R11" s="39" t="s">
        <v>89</v>
      </c>
      <c r="S11" s="38" t="s">
        <v>90</v>
      </c>
      <c r="T11" s="38" t="s">
        <v>91</v>
      </c>
      <c r="V11" s="32"/>
      <c r="W11" s="32"/>
      <c r="X11" s="32"/>
      <c r="Y11" s="32"/>
      <c r="Z11" s="32"/>
      <c r="AA11" s="32"/>
      <c r="AB11" s="32"/>
      <c r="AC11" s="32"/>
      <c r="AD11" s="32"/>
      <c r="AE11" s="32"/>
      <c r="AF11" s="32"/>
      <c r="AG11" s="32"/>
      <c r="AH11" s="32"/>
    </row>
    <row r="12">
      <c r="A12" s="33" t="s">
        <v>9</v>
      </c>
      <c r="B12" s="34">
        <f t="shared" si="1"/>
        <v>15.35</v>
      </c>
      <c r="C12" s="33" t="str">
        <f t="shared" si="2"/>
        <v>0</v>
      </c>
      <c r="D12" s="11" t="s">
        <v>92</v>
      </c>
      <c r="E12" s="33">
        <v>1.0</v>
      </c>
      <c r="F12" s="33"/>
      <c r="G12" s="33"/>
      <c r="H12" s="33"/>
      <c r="I12" s="33"/>
      <c r="J12" s="33"/>
      <c r="K12" s="35">
        <v>7.0</v>
      </c>
      <c r="L12" s="33">
        <v>835.0</v>
      </c>
      <c r="M12" s="33">
        <v>835.0</v>
      </c>
      <c r="N12" s="36">
        <v>0.20833333333333334</v>
      </c>
      <c r="O12" s="37">
        <v>0.10416666666666667</v>
      </c>
      <c r="P12" s="35" t="s">
        <v>77</v>
      </c>
      <c r="Q12" s="35" t="s">
        <v>77</v>
      </c>
      <c r="R12" s="33" t="s">
        <v>77</v>
      </c>
      <c r="S12" s="38" t="s">
        <v>82</v>
      </c>
      <c r="T12" s="38"/>
      <c r="V12" s="32"/>
      <c r="W12" s="32"/>
      <c r="X12" s="32"/>
      <c r="Y12" s="32"/>
      <c r="Z12" s="32"/>
      <c r="AA12" s="32"/>
      <c r="AB12" s="32"/>
      <c r="AC12" s="32"/>
      <c r="AD12" s="32"/>
      <c r="AE12" s="32"/>
      <c r="AF12" s="32"/>
      <c r="AG12" s="32"/>
      <c r="AH12" s="32"/>
    </row>
    <row r="13">
      <c r="A13" s="33" t="s">
        <v>9</v>
      </c>
      <c r="B13" s="34">
        <f t="shared" si="1"/>
        <v>16</v>
      </c>
      <c r="C13" s="33" t="str">
        <f>IF(B11&lt;25,"0",If(B11&lt;45,"1",If(B11&lt;75,"2",If(B11&lt;115,"3",If(B11&lt;155,"4",If(B11&lt;210,"5","6"))))))</f>
        <v>0</v>
      </c>
      <c r="D13" s="11" t="s">
        <v>93</v>
      </c>
      <c r="E13" s="33">
        <v>1.0</v>
      </c>
      <c r="F13" s="33"/>
      <c r="G13" s="33"/>
      <c r="H13" s="33"/>
      <c r="I13" s="33"/>
      <c r="J13" s="33"/>
      <c r="K13" s="35">
        <v>7.0</v>
      </c>
      <c r="L13" s="33">
        <v>900.0</v>
      </c>
      <c r="M13" s="33">
        <v>900.0</v>
      </c>
      <c r="N13" s="36">
        <v>0.19791666666666666</v>
      </c>
      <c r="O13" s="37">
        <v>0.22291666666666668</v>
      </c>
      <c r="P13" s="35">
        <v>3.0</v>
      </c>
      <c r="Q13" s="35">
        <v>3.0</v>
      </c>
      <c r="R13" s="40" t="s">
        <v>94</v>
      </c>
      <c r="S13" s="38" t="s">
        <v>95</v>
      </c>
      <c r="T13" s="38"/>
      <c r="V13" s="32"/>
      <c r="W13" s="32"/>
      <c r="X13" s="32"/>
      <c r="Y13" s="32"/>
      <c r="Z13" s="32"/>
      <c r="AA13" s="32"/>
      <c r="AB13" s="32"/>
      <c r="AC13" s="32"/>
      <c r="AD13" s="32"/>
      <c r="AE13" s="32"/>
      <c r="AF13" s="32"/>
      <c r="AG13" s="32"/>
      <c r="AH13" s="32"/>
    </row>
    <row r="14">
      <c r="A14" s="33" t="s">
        <v>9</v>
      </c>
      <c r="B14" s="34">
        <f t="shared" si="1"/>
        <v>18.15</v>
      </c>
      <c r="C14" s="33" t="str">
        <f t="shared" ref="C14:C31" si="3">IF(B14&lt;25,"0",If(B14&lt;45,"1",If(B14&lt;75,"2",If(B14&lt;115,"3",If(B14&lt;155,"4",If(B14&lt;210,"5","6"))))))</f>
        <v>0</v>
      </c>
      <c r="D14" s="11" t="s">
        <v>96</v>
      </c>
      <c r="E14" s="33">
        <v>1.0</v>
      </c>
      <c r="F14" s="33">
        <v>2.0</v>
      </c>
      <c r="G14" s="33" t="s">
        <v>97</v>
      </c>
      <c r="H14" s="33" t="s">
        <v>87</v>
      </c>
      <c r="I14" s="33" t="s">
        <v>98</v>
      </c>
      <c r="J14" s="33">
        <v>37.2</v>
      </c>
      <c r="K14" s="35">
        <v>7.0</v>
      </c>
      <c r="L14" s="33">
        <v>1115.0</v>
      </c>
      <c r="M14" s="33">
        <v>1115.0</v>
      </c>
      <c r="N14" s="41">
        <v>0.4340277777777778</v>
      </c>
      <c r="O14" s="41">
        <v>0.4791666666666667</v>
      </c>
      <c r="P14" s="35">
        <v>1.6</v>
      </c>
      <c r="Q14" s="35">
        <v>1.7</v>
      </c>
      <c r="R14" s="39" t="s">
        <v>99</v>
      </c>
      <c r="S14" s="38" t="s">
        <v>100</v>
      </c>
      <c r="T14" s="38"/>
      <c r="V14" s="32"/>
      <c r="W14" s="32"/>
      <c r="X14" s="32"/>
      <c r="Y14" s="32"/>
      <c r="Z14" s="32"/>
      <c r="AA14" s="32"/>
      <c r="AB14" s="32"/>
      <c r="AC14" s="32"/>
      <c r="AD14" s="32"/>
      <c r="AE14" s="32"/>
      <c r="AF14" s="32"/>
      <c r="AG14" s="32"/>
      <c r="AH14" s="32"/>
    </row>
    <row r="15">
      <c r="A15" s="33" t="s">
        <v>9</v>
      </c>
      <c r="B15" s="34">
        <f t="shared" si="1"/>
        <v>20.77</v>
      </c>
      <c r="C15" s="33" t="str">
        <f t="shared" si="3"/>
        <v>0</v>
      </c>
      <c r="D15" s="11" t="s">
        <v>101</v>
      </c>
      <c r="E15" s="33">
        <v>3.0</v>
      </c>
      <c r="F15" s="33"/>
      <c r="G15" s="33"/>
      <c r="H15" s="33"/>
      <c r="I15" s="33"/>
      <c r="J15" s="33"/>
      <c r="K15" s="35">
        <v>11.46</v>
      </c>
      <c r="L15" s="33">
        <v>931.0</v>
      </c>
      <c r="M15" s="33">
        <v>922.0</v>
      </c>
      <c r="N15" s="33" t="s">
        <v>77</v>
      </c>
      <c r="O15" s="37">
        <v>0.3215277777777778</v>
      </c>
      <c r="P15" s="35" t="s">
        <v>77</v>
      </c>
      <c r="Q15" s="35" t="s">
        <v>77</v>
      </c>
      <c r="R15" s="39" t="s">
        <v>102</v>
      </c>
      <c r="S15" s="38" t="s">
        <v>78</v>
      </c>
      <c r="T15" s="38"/>
      <c r="V15" s="32"/>
      <c r="W15" s="32"/>
      <c r="X15" s="32"/>
      <c r="Y15" s="32"/>
      <c r="Z15" s="32"/>
      <c r="AA15" s="32"/>
      <c r="AB15" s="32"/>
      <c r="AC15" s="32"/>
      <c r="AD15" s="32"/>
      <c r="AE15" s="32"/>
      <c r="AF15" s="32"/>
      <c r="AG15" s="32"/>
      <c r="AH15" s="32"/>
    </row>
    <row r="16">
      <c r="A16" s="33" t="s">
        <v>9</v>
      </c>
      <c r="B16" s="34">
        <f t="shared" si="1"/>
        <v>20.85</v>
      </c>
      <c r="C16" s="33" t="str">
        <f t="shared" si="3"/>
        <v>0</v>
      </c>
      <c r="D16" s="11" t="s">
        <v>103</v>
      </c>
      <c r="E16" s="33">
        <v>1.0</v>
      </c>
      <c r="F16" s="33"/>
      <c r="G16" s="33"/>
      <c r="H16" s="33"/>
      <c r="I16" s="33"/>
      <c r="J16" s="33"/>
      <c r="K16" s="35">
        <v>10.0</v>
      </c>
      <c r="L16" s="33">
        <v>1085.0</v>
      </c>
      <c r="M16" s="33">
        <v>1085.0</v>
      </c>
      <c r="N16" s="36">
        <v>0.2951388888888889</v>
      </c>
      <c r="O16" s="37">
        <v>0.10416666666666667</v>
      </c>
      <c r="P16" s="35">
        <v>8.4</v>
      </c>
      <c r="Q16" s="35">
        <v>8.4</v>
      </c>
      <c r="R16" s="33" t="s">
        <v>77</v>
      </c>
      <c r="S16" s="38" t="s">
        <v>104</v>
      </c>
      <c r="T16" s="38"/>
      <c r="V16" s="32"/>
      <c r="W16" s="32"/>
      <c r="X16" s="32"/>
      <c r="Y16" s="32"/>
      <c r="Z16" s="32"/>
      <c r="AA16" s="32"/>
      <c r="AB16" s="32"/>
      <c r="AC16" s="32"/>
      <c r="AD16" s="32"/>
      <c r="AE16" s="32"/>
      <c r="AF16" s="32"/>
      <c r="AG16" s="32"/>
      <c r="AH16" s="32"/>
    </row>
    <row r="17">
      <c r="A17" s="33" t="s">
        <v>9</v>
      </c>
      <c r="B17" s="34">
        <f t="shared" si="1"/>
        <v>22.94</v>
      </c>
      <c r="C17" s="33" t="str">
        <f t="shared" si="3"/>
        <v>0</v>
      </c>
      <c r="D17" s="11" t="s">
        <v>105</v>
      </c>
      <c r="E17" s="33">
        <v>1.0</v>
      </c>
      <c r="F17" s="33">
        <v>2.0</v>
      </c>
      <c r="G17" s="33" t="s">
        <v>86</v>
      </c>
      <c r="H17" s="33" t="s">
        <v>87</v>
      </c>
      <c r="I17" s="33" t="s">
        <v>87</v>
      </c>
      <c r="J17" s="33">
        <v>21.8</v>
      </c>
      <c r="K17" s="35">
        <v>11.2</v>
      </c>
      <c r="L17" s="33">
        <v>1174.0</v>
      </c>
      <c r="M17" s="33">
        <v>1174.0</v>
      </c>
      <c r="N17" s="36">
        <v>0.20972222222222223</v>
      </c>
      <c r="O17" s="37">
        <v>0.29375</v>
      </c>
      <c r="P17" s="35">
        <v>3.3</v>
      </c>
      <c r="Q17" s="35">
        <v>3.6</v>
      </c>
      <c r="R17" s="39" t="s">
        <v>106</v>
      </c>
      <c r="S17" s="38" t="s">
        <v>82</v>
      </c>
      <c r="T17" s="38"/>
      <c r="V17" s="32"/>
      <c r="W17" s="32"/>
      <c r="X17" s="32"/>
      <c r="Y17" s="32"/>
      <c r="Z17" s="32"/>
      <c r="AA17" s="32"/>
      <c r="AB17" s="32"/>
      <c r="AC17" s="32"/>
      <c r="AD17" s="32"/>
      <c r="AE17" s="32"/>
      <c r="AF17" s="32"/>
      <c r="AG17" s="32"/>
      <c r="AH17" s="32"/>
    </row>
    <row r="18">
      <c r="A18" s="42" t="s">
        <v>11</v>
      </c>
      <c r="B18" s="43">
        <f t="shared" si="1"/>
        <v>25.14</v>
      </c>
      <c r="C18" s="42" t="str">
        <f t="shared" si="3"/>
        <v>1</v>
      </c>
      <c r="D18" s="13" t="s">
        <v>107</v>
      </c>
      <c r="E18" s="42">
        <v>1.0</v>
      </c>
      <c r="F18" s="44"/>
      <c r="G18" s="42"/>
      <c r="H18" s="42"/>
      <c r="I18" s="42"/>
      <c r="J18" s="42"/>
      <c r="K18" s="45">
        <v>15.7</v>
      </c>
      <c r="L18" s="42">
        <v>944.0</v>
      </c>
      <c r="M18" s="42">
        <v>944.0</v>
      </c>
      <c r="N18" s="46">
        <v>0.3125</v>
      </c>
      <c r="O18" s="47">
        <v>0.3333333333333333</v>
      </c>
      <c r="P18" s="45">
        <v>3.1</v>
      </c>
      <c r="Q18" s="45">
        <v>3.1</v>
      </c>
      <c r="R18" s="48" t="s">
        <v>108</v>
      </c>
      <c r="S18" s="49" t="s">
        <v>78</v>
      </c>
      <c r="T18" s="49"/>
      <c r="V18" s="32"/>
      <c r="W18" s="32"/>
      <c r="X18" s="32"/>
      <c r="Y18" s="32"/>
      <c r="Z18" s="32"/>
      <c r="AA18" s="32"/>
      <c r="AB18" s="32"/>
      <c r="AC18" s="32"/>
      <c r="AD18" s="32"/>
      <c r="AE18" s="32"/>
      <c r="AF18" s="32"/>
      <c r="AG18" s="32"/>
      <c r="AH18" s="32"/>
    </row>
    <row r="19">
      <c r="A19" s="42" t="s">
        <v>11</v>
      </c>
      <c r="B19" s="43">
        <f t="shared" si="1"/>
        <v>25</v>
      </c>
      <c r="C19" s="42" t="str">
        <f t="shared" si="3"/>
        <v>1</v>
      </c>
      <c r="D19" s="13" t="s">
        <v>109</v>
      </c>
      <c r="E19" s="42">
        <v>1.0</v>
      </c>
      <c r="F19" s="44"/>
      <c r="G19" s="42"/>
      <c r="H19" s="42"/>
      <c r="I19" s="42"/>
      <c r="J19" s="42"/>
      <c r="K19" s="45">
        <v>11.0</v>
      </c>
      <c r="L19" s="42">
        <v>1400.0</v>
      </c>
      <c r="M19" s="42">
        <v>1400.0</v>
      </c>
      <c r="N19" s="50">
        <v>0.5104166666666666</v>
      </c>
      <c r="O19" s="47">
        <v>0.23194444444444445</v>
      </c>
      <c r="P19" s="45">
        <v>4.5</v>
      </c>
      <c r="Q19" s="45">
        <v>5.0</v>
      </c>
      <c r="R19" s="48" t="s">
        <v>110</v>
      </c>
      <c r="S19" s="49" t="s">
        <v>82</v>
      </c>
      <c r="T19" s="49"/>
      <c r="V19" s="32"/>
      <c r="W19" s="32"/>
      <c r="X19" s="32"/>
      <c r="Y19" s="32"/>
      <c r="Z19" s="32"/>
      <c r="AA19" s="32"/>
      <c r="AB19" s="32"/>
      <c r="AC19" s="32"/>
      <c r="AD19" s="32"/>
      <c r="AE19" s="32"/>
      <c r="AF19" s="32"/>
      <c r="AG19" s="32"/>
      <c r="AH19" s="32"/>
    </row>
    <row r="20">
      <c r="A20" s="42" t="s">
        <v>11</v>
      </c>
      <c r="B20" s="43">
        <f t="shared" si="1"/>
        <v>26.58</v>
      </c>
      <c r="C20" s="42" t="str">
        <f t="shared" si="3"/>
        <v>1</v>
      </c>
      <c r="D20" s="13" t="s">
        <v>111</v>
      </c>
      <c r="E20" s="42">
        <v>2.0</v>
      </c>
      <c r="F20" s="44"/>
      <c r="G20" s="42"/>
      <c r="H20" s="42"/>
      <c r="I20" s="42"/>
      <c r="J20" s="42"/>
      <c r="K20" s="45">
        <v>14.0</v>
      </c>
      <c r="L20" s="42">
        <v>1258.0</v>
      </c>
      <c r="M20" s="42">
        <v>1753.0</v>
      </c>
      <c r="N20" s="42" t="s">
        <v>77</v>
      </c>
      <c r="O20" s="47">
        <v>0.4965277777777778</v>
      </c>
      <c r="P20" s="45">
        <v>2.2</v>
      </c>
      <c r="Q20" s="45">
        <v>2.2</v>
      </c>
      <c r="R20" s="48" t="s">
        <v>112</v>
      </c>
      <c r="S20" s="49" t="s">
        <v>78</v>
      </c>
      <c r="T20" s="49"/>
      <c r="V20" s="32"/>
      <c r="W20" s="32"/>
      <c r="X20" s="32"/>
      <c r="Y20" s="32"/>
      <c r="Z20" s="32"/>
      <c r="AA20" s="32"/>
      <c r="AB20" s="32"/>
      <c r="AC20" s="32"/>
      <c r="AD20" s="32"/>
      <c r="AE20" s="32"/>
      <c r="AF20" s="32"/>
      <c r="AG20" s="32"/>
      <c r="AH20" s="32"/>
    </row>
    <row r="21">
      <c r="A21" s="42" t="s">
        <v>11</v>
      </c>
      <c r="B21" s="43">
        <f t="shared" si="1"/>
        <v>27.59</v>
      </c>
      <c r="C21" s="42" t="str">
        <f t="shared" si="3"/>
        <v>1</v>
      </c>
      <c r="D21" s="13" t="s">
        <v>113</v>
      </c>
      <c r="E21" s="42">
        <v>2.0</v>
      </c>
      <c r="F21" s="44">
        <v>44563.0</v>
      </c>
      <c r="G21" s="42" t="s">
        <v>97</v>
      </c>
      <c r="H21" s="42" t="s">
        <v>98</v>
      </c>
      <c r="I21" s="42" t="s">
        <v>98</v>
      </c>
      <c r="J21" s="42" t="s">
        <v>114</v>
      </c>
      <c r="K21" s="45">
        <v>13.4</v>
      </c>
      <c r="L21" s="42">
        <v>1419.0</v>
      </c>
      <c r="M21" s="42">
        <v>1419.0</v>
      </c>
      <c r="N21" s="46">
        <v>0.3715277777777778</v>
      </c>
      <c r="O21" s="47">
        <v>0.2881944444444444</v>
      </c>
      <c r="P21" s="45">
        <v>4.0</v>
      </c>
      <c r="Q21" s="45">
        <v>4.4</v>
      </c>
      <c r="R21" s="51" t="s">
        <v>115</v>
      </c>
      <c r="S21" s="49" t="s">
        <v>78</v>
      </c>
      <c r="T21" s="49" t="s">
        <v>91</v>
      </c>
      <c r="V21" s="32"/>
      <c r="W21" s="32"/>
      <c r="X21" s="32"/>
      <c r="Y21" s="32"/>
      <c r="Z21" s="32"/>
      <c r="AA21" s="32"/>
      <c r="AB21" s="32"/>
      <c r="AC21" s="32"/>
      <c r="AD21" s="32"/>
      <c r="AE21" s="32"/>
      <c r="AF21" s="32"/>
      <c r="AG21" s="32"/>
      <c r="AH21" s="32"/>
    </row>
    <row r="22">
      <c r="A22" s="42" t="s">
        <v>11</v>
      </c>
      <c r="B22" s="43">
        <f t="shared" si="1"/>
        <v>29.12</v>
      </c>
      <c r="C22" s="42" t="str">
        <f t="shared" si="3"/>
        <v>1</v>
      </c>
      <c r="D22" s="13" t="s">
        <v>116</v>
      </c>
      <c r="E22" s="42">
        <v>1.0</v>
      </c>
      <c r="F22" s="42">
        <v>1.0</v>
      </c>
      <c r="G22" s="42" t="s">
        <v>86</v>
      </c>
      <c r="H22" s="42" t="s">
        <v>98</v>
      </c>
      <c r="I22" s="42" t="s">
        <v>87</v>
      </c>
      <c r="J22" s="42">
        <v>7.4</v>
      </c>
      <c r="K22" s="45">
        <v>13.0</v>
      </c>
      <c r="L22" s="42">
        <v>1612.0</v>
      </c>
      <c r="M22" s="42">
        <v>1612.0</v>
      </c>
      <c r="N22" s="46">
        <v>0.4652777777777778</v>
      </c>
      <c r="O22" s="47">
        <v>0.21597222222222223</v>
      </c>
      <c r="P22" s="45">
        <v>5.6</v>
      </c>
      <c r="Q22" s="45">
        <v>6.1</v>
      </c>
      <c r="R22" s="51" t="s">
        <v>117</v>
      </c>
      <c r="S22" s="49" t="s">
        <v>90</v>
      </c>
      <c r="T22" s="49" t="s">
        <v>91</v>
      </c>
      <c r="V22" s="32"/>
      <c r="W22" s="32"/>
      <c r="X22" s="32"/>
      <c r="Y22" s="32"/>
      <c r="Z22" s="32"/>
      <c r="AA22" s="32"/>
      <c r="AB22" s="32"/>
      <c r="AC22" s="32"/>
      <c r="AD22" s="32"/>
      <c r="AE22" s="32"/>
      <c r="AF22" s="32"/>
      <c r="AG22" s="32"/>
      <c r="AH22" s="32"/>
    </row>
    <row r="23">
      <c r="A23" s="42" t="s">
        <v>11</v>
      </c>
      <c r="B23" s="43">
        <f t="shared" si="1"/>
        <v>33.06</v>
      </c>
      <c r="C23" s="42" t="str">
        <f t="shared" si="3"/>
        <v>1</v>
      </c>
      <c r="D23" s="13" t="s">
        <v>118</v>
      </c>
      <c r="E23" s="42">
        <v>1.0</v>
      </c>
      <c r="F23" s="42">
        <v>44595.0</v>
      </c>
      <c r="G23" s="42" t="s">
        <v>119</v>
      </c>
      <c r="H23" s="42" t="s">
        <v>87</v>
      </c>
      <c r="I23" s="42" t="s">
        <v>98</v>
      </c>
      <c r="J23" s="42">
        <v>21.8</v>
      </c>
      <c r="K23" s="45">
        <v>13.27</v>
      </c>
      <c r="L23" s="42">
        <v>1979.0</v>
      </c>
      <c r="M23" s="42">
        <v>1979.0</v>
      </c>
      <c r="N23" s="46">
        <v>0.6291666666666667</v>
      </c>
      <c r="O23" s="47">
        <v>0.15</v>
      </c>
      <c r="P23" s="45">
        <v>9.2</v>
      </c>
      <c r="Q23" s="45">
        <v>9.4</v>
      </c>
      <c r="R23" s="51" t="s">
        <v>120</v>
      </c>
      <c r="S23" s="49" t="s">
        <v>121</v>
      </c>
      <c r="T23" s="49"/>
      <c r="V23" s="32"/>
      <c r="W23" s="32"/>
      <c r="X23" s="32"/>
      <c r="Y23" s="32"/>
      <c r="Z23" s="32"/>
      <c r="AA23" s="32"/>
      <c r="AB23" s="32"/>
      <c r="AC23" s="32"/>
      <c r="AD23" s="32"/>
      <c r="AE23" s="32"/>
      <c r="AF23" s="32"/>
      <c r="AG23" s="32"/>
      <c r="AH23" s="32"/>
    </row>
    <row r="24">
      <c r="A24" s="42" t="s">
        <v>11</v>
      </c>
      <c r="B24" s="43">
        <f t="shared" si="1"/>
        <v>35.35</v>
      </c>
      <c r="C24" s="42" t="str">
        <f t="shared" si="3"/>
        <v>1</v>
      </c>
      <c r="D24" s="13" t="s">
        <v>122</v>
      </c>
      <c r="E24" s="42">
        <v>1.0</v>
      </c>
      <c r="F24" s="42"/>
      <c r="G24" s="42"/>
      <c r="H24" s="42"/>
      <c r="I24" s="42"/>
      <c r="J24" s="42"/>
      <c r="K24" s="45">
        <v>22.0</v>
      </c>
      <c r="L24" s="42">
        <v>1335.0</v>
      </c>
      <c r="M24" s="42">
        <v>1344.0</v>
      </c>
      <c r="N24" s="46">
        <v>0.4652777777777778</v>
      </c>
      <c r="O24" s="47">
        <v>0.4652777777777778</v>
      </c>
      <c r="P24" s="45">
        <v>1.0</v>
      </c>
      <c r="Q24" s="45">
        <v>1.0</v>
      </c>
      <c r="R24" s="42" t="s">
        <v>77</v>
      </c>
      <c r="S24" s="49" t="s">
        <v>95</v>
      </c>
      <c r="T24" s="49"/>
      <c r="V24" s="32"/>
      <c r="W24" s="32"/>
      <c r="X24" s="32"/>
      <c r="Y24" s="32"/>
      <c r="Z24" s="32"/>
      <c r="AA24" s="32"/>
      <c r="AB24" s="32"/>
      <c r="AC24" s="32"/>
      <c r="AD24" s="32"/>
      <c r="AE24" s="32"/>
      <c r="AF24" s="32"/>
      <c r="AG24" s="32"/>
      <c r="AH24" s="32"/>
    </row>
    <row r="25">
      <c r="A25" s="42" t="s">
        <v>11</v>
      </c>
      <c r="B25" s="43">
        <f t="shared" si="1"/>
        <v>37.4</v>
      </c>
      <c r="C25" s="42" t="str">
        <f t="shared" si="3"/>
        <v>1</v>
      </c>
      <c r="D25" s="13" t="s">
        <v>123</v>
      </c>
      <c r="E25" s="42">
        <v>1.0</v>
      </c>
      <c r="F25" s="42"/>
      <c r="G25" s="42"/>
      <c r="H25" s="42"/>
      <c r="I25" s="42"/>
      <c r="J25" s="42"/>
      <c r="K25" s="45">
        <v>20.4</v>
      </c>
      <c r="L25" s="42">
        <v>1700.0</v>
      </c>
      <c r="M25" s="42">
        <v>1700.0</v>
      </c>
      <c r="N25" s="46">
        <v>0.5416666666666666</v>
      </c>
      <c r="O25" s="47">
        <v>0.7069444444444445</v>
      </c>
      <c r="P25" s="45">
        <v>2.17</v>
      </c>
      <c r="Q25" s="45">
        <v>2.2</v>
      </c>
      <c r="R25" s="51" t="s">
        <v>124</v>
      </c>
      <c r="S25" s="49" t="s">
        <v>100</v>
      </c>
      <c r="T25" s="49"/>
      <c r="V25" s="32"/>
      <c r="W25" s="32"/>
      <c r="X25" s="32"/>
      <c r="Y25" s="32"/>
      <c r="Z25" s="32"/>
      <c r="AA25" s="32"/>
      <c r="AB25" s="32"/>
      <c r="AC25" s="32"/>
      <c r="AD25" s="32"/>
      <c r="AE25" s="32"/>
      <c r="AF25" s="32"/>
      <c r="AG25" s="32"/>
      <c r="AH25" s="32"/>
    </row>
    <row r="26">
      <c r="A26" s="42" t="s">
        <v>11</v>
      </c>
      <c r="B26" s="43">
        <f t="shared" si="1"/>
        <v>37.46</v>
      </c>
      <c r="C26" s="42" t="str">
        <f t="shared" si="3"/>
        <v>1</v>
      </c>
      <c r="D26" s="13" t="s">
        <v>125</v>
      </c>
      <c r="E26" s="42">
        <v>1.0</v>
      </c>
      <c r="F26" s="42">
        <v>1.0</v>
      </c>
      <c r="G26" s="42" t="s">
        <v>97</v>
      </c>
      <c r="H26" s="42" t="s">
        <v>87</v>
      </c>
      <c r="I26" s="42" t="s">
        <v>98</v>
      </c>
      <c r="J26" s="42">
        <v>20.8</v>
      </c>
      <c r="K26" s="45">
        <v>21.8</v>
      </c>
      <c r="L26" s="42">
        <v>1566.0</v>
      </c>
      <c r="M26" s="42">
        <v>1566.0</v>
      </c>
      <c r="N26" s="46">
        <v>0.5833333333333334</v>
      </c>
      <c r="O26" s="47">
        <v>0.28680555555555554</v>
      </c>
      <c r="P26" s="45">
        <v>5.8</v>
      </c>
      <c r="Q26" s="45">
        <v>6.5</v>
      </c>
      <c r="R26" s="51" t="s">
        <v>126</v>
      </c>
      <c r="S26" s="49" t="s">
        <v>127</v>
      </c>
      <c r="T26" s="49"/>
      <c r="V26" s="32"/>
      <c r="W26" s="32"/>
      <c r="X26" s="32"/>
      <c r="Y26" s="32"/>
      <c r="Z26" s="32"/>
      <c r="AA26" s="32"/>
      <c r="AB26" s="32"/>
      <c r="AC26" s="32"/>
      <c r="AD26" s="32"/>
      <c r="AE26" s="32"/>
      <c r="AF26" s="32"/>
      <c r="AG26" s="32"/>
      <c r="AH26" s="32"/>
    </row>
    <row r="27">
      <c r="A27" s="42" t="s">
        <v>11</v>
      </c>
      <c r="B27" s="43">
        <f t="shared" si="1"/>
        <v>38.03</v>
      </c>
      <c r="C27" s="42" t="str">
        <f t="shared" si="3"/>
        <v>1</v>
      </c>
      <c r="D27" s="13" t="s">
        <v>128</v>
      </c>
      <c r="E27" s="42">
        <v>1.0</v>
      </c>
      <c r="F27" s="42">
        <v>44595.0</v>
      </c>
      <c r="G27" s="42" t="s">
        <v>86</v>
      </c>
      <c r="H27" s="42" t="s">
        <v>98</v>
      </c>
      <c r="I27" s="42" t="s">
        <v>87</v>
      </c>
      <c r="J27" s="42" t="s">
        <v>129</v>
      </c>
      <c r="K27" s="45">
        <v>17.6</v>
      </c>
      <c r="L27" s="42">
        <v>2043.0</v>
      </c>
      <c r="M27" s="42">
        <v>2043.0</v>
      </c>
      <c r="N27" s="46">
        <v>0.5555555555555556</v>
      </c>
      <c r="O27" s="47">
        <v>0.25555555555555554</v>
      </c>
      <c r="P27" s="45">
        <v>6.2</v>
      </c>
      <c r="Q27" s="45">
        <v>6.2</v>
      </c>
      <c r="R27" s="51" t="s">
        <v>130</v>
      </c>
      <c r="S27" s="49" t="s">
        <v>104</v>
      </c>
      <c r="T27" s="49" t="s">
        <v>91</v>
      </c>
      <c r="V27" s="32"/>
      <c r="W27" s="32"/>
      <c r="X27" s="32"/>
      <c r="Y27" s="32"/>
      <c r="Z27" s="32"/>
      <c r="AA27" s="32"/>
      <c r="AB27" s="32"/>
      <c r="AC27" s="32"/>
      <c r="AD27" s="32"/>
      <c r="AE27" s="32"/>
      <c r="AF27" s="32"/>
      <c r="AG27" s="32"/>
      <c r="AH27" s="32"/>
    </row>
    <row r="28">
      <c r="A28" s="42" t="s">
        <v>11</v>
      </c>
      <c r="B28" s="43">
        <f t="shared" si="1"/>
        <v>38.48</v>
      </c>
      <c r="C28" s="42" t="str">
        <f t="shared" si="3"/>
        <v>1</v>
      </c>
      <c r="D28" s="13" t="s">
        <v>131</v>
      </c>
      <c r="E28" s="42">
        <v>2.0</v>
      </c>
      <c r="F28" s="42">
        <v>2.0</v>
      </c>
      <c r="G28" s="42" t="s">
        <v>86</v>
      </c>
      <c r="H28" s="42" t="s">
        <v>87</v>
      </c>
      <c r="I28" s="42" t="s">
        <v>87</v>
      </c>
      <c r="J28" s="42">
        <v>30.6</v>
      </c>
      <c r="K28" s="45">
        <v>18.7</v>
      </c>
      <c r="L28" s="42">
        <v>1978.0</v>
      </c>
      <c r="M28" s="42">
        <v>1978.0</v>
      </c>
      <c r="N28" s="46">
        <v>0.6513888888888889</v>
      </c>
      <c r="O28" s="47">
        <v>0.41041666666666665</v>
      </c>
      <c r="P28" s="45">
        <v>3.9</v>
      </c>
      <c r="Q28" s="45">
        <v>4.3</v>
      </c>
      <c r="R28" s="51" t="s">
        <v>132</v>
      </c>
      <c r="S28" s="49" t="s">
        <v>133</v>
      </c>
      <c r="T28" s="49"/>
      <c r="V28" s="32"/>
      <c r="W28" s="32"/>
      <c r="X28" s="32"/>
      <c r="Y28" s="32"/>
      <c r="Z28" s="32"/>
      <c r="AA28" s="32"/>
      <c r="AB28" s="32"/>
      <c r="AC28" s="32"/>
      <c r="AD28" s="32"/>
      <c r="AE28" s="32"/>
      <c r="AF28" s="32"/>
      <c r="AG28" s="32"/>
      <c r="AH28" s="32"/>
    </row>
    <row r="29">
      <c r="A29" s="42" t="s">
        <v>11</v>
      </c>
      <c r="B29" s="43">
        <f t="shared" si="1"/>
        <v>40.05</v>
      </c>
      <c r="C29" s="42" t="str">
        <f t="shared" si="3"/>
        <v>1</v>
      </c>
      <c r="D29" s="13" t="s">
        <v>134</v>
      </c>
      <c r="E29" s="42">
        <v>2.0</v>
      </c>
      <c r="F29" s="42"/>
      <c r="G29" s="42"/>
      <c r="H29" s="42"/>
      <c r="I29" s="42"/>
      <c r="J29" s="42"/>
      <c r="K29" s="45">
        <v>20.2</v>
      </c>
      <c r="L29" s="42">
        <v>1985.0</v>
      </c>
      <c r="M29" s="42">
        <v>1893.0</v>
      </c>
      <c r="N29" s="42" t="s">
        <v>77</v>
      </c>
      <c r="O29" s="42" t="s">
        <v>77</v>
      </c>
      <c r="P29" s="45" t="s">
        <v>77</v>
      </c>
      <c r="Q29" s="45" t="s">
        <v>77</v>
      </c>
      <c r="R29" s="42" t="s">
        <v>77</v>
      </c>
      <c r="S29" s="49" t="s">
        <v>78</v>
      </c>
      <c r="T29" s="49"/>
      <c r="V29" s="32"/>
      <c r="W29" s="32"/>
      <c r="X29" s="32"/>
      <c r="Y29" s="32"/>
      <c r="Z29" s="32"/>
      <c r="AA29" s="32"/>
      <c r="AB29" s="32"/>
      <c r="AC29" s="32"/>
      <c r="AD29" s="32"/>
      <c r="AE29" s="32"/>
      <c r="AF29" s="32"/>
      <c r="AG29" s="32"/>
      <c r="AH29" s="32"/>
    </row>
    <row r="30">
      <c r="A30" s="42" t="s">
        <v>11</v>
      </c>
      <c r="B30" s="43">
        <f t="shared" si="1"/>
        <v>40</v>
      </c>
      <c r="C30" s="42" t="str">
        <f t="shared" si="3"/>
        <v>1</v>
      </c>
      <c r="D30" s="13" t="s">
        <v>135</v>
      </c>
      <c r="E30" s="42">
        <v>1.0</v>
      </c>
      <c r="F30" s="42">
        <v>2.0</v>
      </c>
      <c r="G30" s="42" t="s">
        <v>136</v>
      </c>
      <c r="H30" s="42" t="s">
        <v>98</v>
      </c>
      <c r="I30" s="42" t="s">
        <v>87</v>
      </c>
      <c r="J30" s="42">
        <v>24.0</v>
      </c>
      <c r="K30" s="45">
        <v>18.0</v>
      </c>
      <c r="L30" s="42">
        <v>2200.0</v>
      </c>
      <c r="M30" s="42">
        <v>2200.0</v>
      </c>
      <c r="N30" s="46">
        <v>0.9027777777777778</v>
      </c>
      <c r="O30" s="47">
        <v>0.21875</v>
      </c>
      <c r="P30" s="45">
        <v>7.6</v>
      </c>
      <c r="Q30" s="45">
        <v>7.9</v>
      </c>
      <c r="R30" s="51" t="s">
        <v>137</v>
      </c>
      <c r="S30" s="49" t="s">
        <v>100</v>
      </c>
      <c r="T30" s="49"/>
      <c r="V30" s="32"/>
      <c r="W30" s="32"/>
      <c r="X30" s="32"/>
      <c r="Y30" s="32"/>
      <c r="Z30" s="32"/>
      <c r="AA30" s="32"/>
      <c r="AB30" s="32"/>
      <c r="AC30" s="32"/>
      <c r="AD30" s="32"/>
      <c r="AE30" s="32"/>
      <c r="AF30" s="32"/>
      <c r="AG30" s="32"/>
      <c r="AH30" s="32"/>
    </row>
    <row r="31">
      <c r="A31" s="42" t="s">
        <v>11</v>
      </c>
      <c r="B31" s="43">
        <f t="shared" si="1"/>
        <v>39.61</v>
      </c>
      <c r="C31" s="42" t="str">
        <f t="shared" si="3"/>
        <v>1</v>
      </c>
      <c r="D31" s="13" t="s">
        <v>138</v>
      </c>
      <c r="E31" s="42">
        <v>2.0</v>
      </c>
      <c r="F31" s="42">
        <v>1.0</v>
      </c>
      <c r="G31" s="42" t="s">
        <v>119</v>
      </c>
      <c r="H31" s="42" t="s">
        <v>87</v>
      </c>
      <c r="I31" s="42" t="s">
        <v>98</v>
      </c>
      <c r="J31" s="42">
        <v>16.6</v>
      </c>
      <c r="K31" s="45">
        <v>21.88</v>
      </c>
      <c r="L31" s="42">
        <v>1773.0</v>
      </c>
      <c r="M31" s="42">
        <v>1773.0</v>
      </c>
      <c r="N31" s="46">
        <v>0.6979166666666666</v>
      </c>
      <c r="O31" s="47">
        <v>0.44722222222222224</v>
      </c>
      <c r="P31" s="45">
        <f>B31/(10+(44/60))</f>
        <v>3.690372671</v>
      </c>
      <c r="Q31" s="45">
        <f>B31/(9+(44/60))</f>
        <v>4.069520548</v>
      </c>
      <c r="R31" s="51" t="s">
        <v>139</v>
      </c>
      <c r="S31" s="49" t="s">
        <v>100</v>
      </c>
      <c r="T31" s="49"/>
      <c r="V31" s="32"/>
      <c r="W31" s="32"/>
      <c r="X31" s="32"/>
      <c r="Y31" s="32"/>
      <c r="Z31" s="32"/>
      <c r="AA31" s="32"/>
      <c r="AB31" s="32"/>
      <c r="AC31" s="32"/>
      <c r="AD31" s="32"/>
      <c r="AE31" s="32"/>
      <c r="AF31" s="32"/>
      <c r="AG31" s="32"/>
      <c r="AH31" s="32"/>
    </row>
    <row r="32">
      <c r="A32" s="42" t="s">
        <v>11</v>
      </c>
      <c r="B32" s="43">
        <f t="shared" si="1"/>
        <v>41.4</v>
      </c>
      <c r="C32" s="42">
        <v>1.0</v>
      </c>
      <c r="D32" s="13" t="s">
        <v>140</v>
      </c>
      <c r="E32" s="42">
        <v>2.0</v>
      </c>
      <c r="F32" s="42"/>
      <c r="G32" s="42"/>
      <c r="H32" s="42"/>
      <c r="I32" s="42"/>
      <c r="J32" s="42"/>
      <c r="K32" s="45">
        <v>21.4</v>
      </c>
      <c r="L32" s="42">
        <v>2000.0</v>
      </c>
      <c r="M32" s="42">
        <v>2000.0</v>
      </c>
      <c r="N32" s="46">
        <v>0.6493055555555556</v>
      </c>
      <c r="O32" s="47">
        <v>0.6826388888888889</v>
      </c>
      <c r="P32" s="45">
        <v>2.5</v>
      </c>
      <c r="Q32" s="45">
        <v>2.5</v>
      </c>
      <c r="R32" s="48" t="s">
        <v>141</v>
      </c>
      <c r="S32" s="49" t="s">
        <v>133</v>
      </c>
      <c r="T32" s="49"/>
      <c r="V32" s="32"/>
      <c r="W32" s="32"/>
      <c r="X32" s="32"/>
      <c r="Y32" s="32"/>
      <c r="Z32" s="32"/>
      <c r="AA32" s="32"/>
      <c r="AB32" s="32"/>
      <c r="AC32" s="32"/>
      <c r="AD32" s="32"/>
      <c r="AE32" s="32"/>
      <c r="AF32" s="32"/>
      <c r="AG32" s="32"/>
      <c r="AH32" s="32"/>
    </row>
    <row r="33">
      <c r="A33" s="42" t="s">
        <v>11</v>
      </c>
      <c r="B33" s="43">
        <f t="shared" si="1"/>
        <v>41.49</v>
      </c>
      <c r="C33" s="42" t="str">
        <f>IF(B33&lt;25,"0",If(B33&lt;45,"1",If(B33&lt;75,"2",If(B33&lt;115,"3",If(B33&lt;155,"4",If(B33&lt;210,"5","6"))))))</f>
        <v>1</v>
      </c>
      <c r="D33" s="13" t="s">
        <v>142</v>
      </c>
      <c r="E33" s="42">
        <v>2.0</v>
      </c>
      <c r="F33" s="42">
        <v>1.0</v>
      </c>
      <c r="G33" s="42" t="s">
        <v>97</v>
      </c>
      <c r="H33" s="42" t="s">
        <v>87</v>
      </c>
      <c r="I33" s="42" t="s">
        <v>98</v>
      </c>
      <c r="J33" s="42">
        <v>8.2</v>
      </c>
      <c r="K33" s="45">
        <v>19.8</v>
      </c>
      <c r="L33" s="42">
        <v>2169.0</v>
      </c>
      <c r="M33" s="42">
        <v>2169.0</v>
      </c>
      <c r="N33" s="46">
        <v>0.8611111111111112</v>
      </c>
      <c r="O33" s="47">
        <v>0.5131944444444444</v>
      </c>
      <c r="P33" s="45">
        <v>3.5</v>
      </c>
      <c r="Q33" s="45">
        <v>3.8</v>
      </c>
      <c r="R33" s="51" t="s">
        <v>143</v>
      </c>
      <c r="S33" s="49" t="s">
        <v>82</v>
      </c>
      <c r="T33" s="49"/>
      <c r="V33" s="32"/>
      <c r="W33" s="32"/>
      <c r="X33" s="32"/>
      <c r="Y33" s="32"/>
      <c r="Z33" s="32"/>
      <c r="AA33" s="32"/>
      <c r="AB33" s="32"/>
      <c r="AC33" s="32"/>
      <c r="AD33" s="32"/>
      <c r="AE33" s="32"/>
      <c r="AF33" s="32"/>
      <c r="AG33" s="32"/>
      <c r="AH33" s="32"/>
    </row>
    <row r="34">
      <c r="A34" s="42" t="s">
        <v>11</v>
      </c>
      <c r="B34" s="43">
        <f t="shared" si="1"/>
        <v>41.95</v>
      </c>
      <c r="C34" s="42" t="str">
        <f>IF(B33&lt;25,"0",If(B33&lt;45,"1",If(B33&lt;75,"2",If(B33&lt;115,"3",If(B33&lt;155,"4",If(B33&lt;210,"5","6"))))))</f>
        <v>1</v>
      </c>
      <c r="D34" s="13" t="s">
        <v>144</v>
      </c>
      <c r="E34" s="42">
        <v>2.0</v>
      </c>
      <c r="F34" s="42"/>
      <c r="G34" s="42"/>
      <c r="H34" s="42"/>
      <c r="I34" s="42"/>
      <c r="J34" s="42"/>
      <c r="K34" s="45">
        <v>23.6</v>
      </c>
      <c r="L34" s="42">
        <v>1835.0</v>
      </c>
      <c r="M34" s="42">
        <v>1844.0</v>
      </c>
      <c r="N34" s="46">
        <v>0.4756944444444444</v>
      </c>
      <c r="O34" s="47">
        <v>0.5173611111111112</v>
      </c>
      <c r="P34" s="45">
        <v>1.0</v>
      </c>
      <c r="Q34" s="45">
        <v>1.0</v>
      </c>
      <c r="R34" s="42" t="s">
        <v>77</v>
      </c>
      <c r="S34" s="49" t="s">
        <v>95</v>
      </c>
      <c r="T34" s="49"/>
      <c r="V34" s="32"/>
      <c r="W34" s="32"/>
      <c r="X34" s="32"/>
      <c r="Y34" s="32"/>
      <c r="Z34" s="32"/>
      <c r="AA34" s="32"/>
      <c r="AB34" s="32"/>
      <c r="AC34" s="32"/>
      <c r="AD34" s="32"/>
      <c r="AE34" s="32"/>
      <c r="AF34" s="32"/>
      <c r="AG34" s="32"/>
      <c r="AH34" s="32"/>
    </row>
    <row r="35">
      <c r="A35" s="42" t="s">
        <v>11</v>
      </c>
      <c r="B35" s="43">
        <f t="shared" si="1"/>
        <v>42.31</v>
      </c>
      <c r="C35" s="42" t="str">
        <f>IF(B35&lt;25,"0",If(B35&lt;45,"1",If(B35&lt;75,"2",If(B35&lt;115,"3",If(B35&lt;155,"4",If(B35&lt;210,"5","6"))))))</f>
        <v>1</v>
      </c>
      <c r="D35" s="13" t="s">
        <v>145</v>
      </c>
      <c r="E35" s="42">
        <v>1.0</v>
      </c>
      <c r="F35" s="42"/>
      <c r="G35" s="42"/>
      <c r="H35" s="42"/>
      <c r="I35" s="42"/>
      <c r="J35" s="42"/>
      <c r="K35" s="45">
        <v>21.8</v>
      </c>
      <c r="L35" s="42">
        <v>2051.0</v>
      </c>
      <c r="M35" s="42">
        <v>2051.0</v>
      </c>
      <c r="N35" s="42" t="s">
        <v>77</v>
      </c>
      <c r="O35" s="47">
        <v>0.3854166666666667</v>
      </c>
      <c r="P35" s="45">
        <v>4.6</v>
      </c>
      <c r="Q35" s="45">
        <v>5.2</v>
      </c>
      <c r="R35" s="51" t="s">
        <v>146</v>
      </c>
      <c r="S35" s="49" t="s">
        <v>147</v>
      </c>
      <c r="T35" s="49"/>
      <c r="V35" s="32"/>
      <c r="W35" s="32"/>
      <c r="X35" s="32"/>
      <c r="Y35" s="32"/>
      <c r="Z35" s="32"/>
      <c r="AA35" s="32"/>
      <c r="AB35" s="32"/>
      <c r="AC35" s="32"/>
      <c r="AD35" s="32"/>
      <c r="AE35" s="32"/>
      <c r="AF35" s="32"/>
      <c r="AG35" s="32"/>
      <c r="AH35" s="32"/>
    </row>
    <row r="36">
      <c r="A36" s="42" t="s">
        <v>11</v>
      </c>
      <c r="B36" s="43">
        <f t="shared" si="1"/>
        <v>41.63</v>
      </c>
      <c r="C36" s="42">
        <v>1.0</v>
      </c>
      <c r="D36" s="13" t="s">
        <v>148</v>
      </c>
      <c r="E36" s="42">
        <v>2.0</v>
      </c>
      <c r="F36" s="42"/>
      <c r="G36" s="42"/>
      <c r="H36" s="42"/>
      <c r="I36" s="42"/>
      <c r="J36" s="42"/>
      <c r="K36" s="45">
        <v>21.78</v>
      </c>
      <c r="L36" s="42">
        <v>1985.0</v>
      </c>
      <c r="M36" s="42">
        <v>2548.0</v>
      </c>
      <c r="N36" s="50">
        <v>0.7916666666666666</v>
      </c>
      <c r="O36" s="47">
        <v>0.63125</v>
      </c>
      <c r="P36" s="45">
        <v>2.8</v>
      </c>
      <c r="Q36" s="45">
        <v>2.8</v>
      </c>
      <c r="R36" s="51" t="s">
        <v>149</v>
      </c>
      <c r="S36" s="49" t="s">
        <v>147</v>
      </c>
      <c r="T36" s="49"/>
      <c r="V36" s="32"/>
      <c r="W36" s="32"/>
      <c r="X36" s="32"/>
      <c r="Y36" s="32"/>
      <c r="Z36" s="32"/>
      <c r="AA36" s="32"/>
      <c r="AB36" s="32"/>
      <c r="AC36" s="32"/>
      <c r="AD36" s="32"/>
      <c r="AE36" s="32"/>
      <c r="AF36" s="32"/>
      <c r="AG36" s="32"/>
      <c r="AH36" s="32"/>
    </row>
    <row r="37">
      <c r="A37" s="42" t="s">
        <v>11</v>
      </c>
      <c r="B37" s="43">
        <f t="shared" si="1"/>
        <v>42.65</v>
      </c>
      <c r="C37" s="42" t="str">
        <f t="shared" ref="C37:C160" si="4">IF(B37&lt;25,"0",If(B37&lt;45,"1",If(B37&lt;75,"2",If(B37&lt;115,"3",If(B37&lt;155,"4",If(B37&lt;210,"5","6"))))))</f>
        <v>1</v>
      </c>
      <c r="D37" s="13" t="s">
        <v>150</v>
      </c>
      <c r="E37" s="42">
        <v>2.0</v>
      </c>
      <c r="F37" s="42">
        <v>2.0</v>
      </c>
      <c r="G37" s="42" t="s">
        <v>97</v>
      </c>
      <c r="H37" s="42" t="s">
        <v>98</v>
      </c>
      <c r="I37" s="42" t="s">
        <v>98</v>
      </c>
      <c r="J37" s="42" t="s">
        <v>151</v>
      </c>
      <c r="K37" s="45">
        <v>21.4</v>
      </c>
      <c r="L37" s="42">
        <v>2125.0</v>
      </c>
      <c r="M37" s="42">
        <v>2125.0</v>
      </c>
      <c r="N37" s="46">
        <v>0.7222222222222222</v>
      </c>
      <c r="O37" s="47">
        <v>0.35347222222222224</v>
      </c>
      <c r="P37" s="45">
        <v>4.7</v>
      </c>
      <c r="Q37" s="45">
        <v>4.9</v>
      </c>
      <c r="R37" s="51" t="s">
        <v>152</v>
      </c>
      <c r="S37" s="49" t="s">
        <v>147</v>
      </c>
      <c r="T37" s="49"/>
      <c r="V37" s="32"/>
      <c r="W37" s="32"/>
      <c r="X37" s="32"/>
      <c r="Y37" s="32"/>
      <c r="Z37" s="32"/>
      <c r="AA37" s="32"/>
      <c r="AB37" s="32"/>
      <c r="AC37" s="32"/>
      <c r="AD37" s="32"/>
      <c r="AE37" s="32"/>
      <c r="AF37" s="32"/>
      <c r="AG37" s="32"/>
      <c r="AH37" s="32"/>
    </row>
    <row r="38">
      <c r="A38" s="42" t="s">
        <v>11</v>
      </c>
      <c r="B38" s="43">
        <f t="shared" si="1"/>
        <v>43</v>
      </c>
      <c r="C38" s="42" t="str">
        <f t="shared" si="4"/>
        <v>1</v>
      </c>
      <c r="D38" s="13" t="s">
        <v>153</v>
      </c>
      <c r="E38" s="42">
        <v>2.0</v>
      </c>
      <c r="F38" s="42"/>
      <c r="G38" s="42"/>
      <c r="H38" s="42"/>
      <c r="I38" s="42"/>
      <c r="J38" s="42"/>
      <c r="K38" s="45">
        <v>24.8</v>
      </c>
      <c r="L38" s="42">
        <v>1820.0</v>
      </c>
      <c r="M38" s="42">
        <v>1820.0</v>
      </c>
      <c r="N38" s="50">
        <v>0.6180555555555556</v>
      </c>
      <c r="O38" s="42" t="s">
        <v>77</v>
      </c>
      <c r="P38" s="45" t="s">
        <v>77</v>
      </c>
      <c r="Q38" s="45" t="s">
        <v>77</v>
      </c>
      <c r="R38" s="42" t="s">
        <v>77</v>
      </c>
      <c r="S38" s="49" t="s">
        <v>95</v>
      </c>
      <c r="T38" s="49"/>
      <c r="V38" s="32"/>
      <c r="W38" s="32"/>
      <c r="X38" s="32"/>
      <c r="Y38" s="32"/>
      <c r="Z38" s="32"/>
      <c r="AA38" s="32"/>
      <c r="AB38" s="32"/>
      <c r="AC38" s="32"/>
      <c r="AD38" s="32"/>
      <c r="AE38" s="32"/>
      <c r="AF38" s="32"/>
      <c r="AG38" s="32"/>
      <c r="AH38" s="32"/>
    </row>
    <row r="39">
      <c r="A39" s="42" t="s">
        <v>11</v>
      </c>
      <c r="B39" s="43">
        <f t="shared" si="1"/>
        <v>43.28</v>
      </c>
      <c r="C39" s="42" t="str">
        <f t="shared" si="4"/>
        <v>1</v>
      </c>
      <c r="D39" s="13" t="s">
        <v>154</v>
      </c>
      <c r="E39" s="42">
        <v>1.0</v>
      </c>
      <c r="F39" s="42">
        <v>1.0</v>
      </c>
      <c r="G39" s="42" t="s">
        <v>97</v>
      </c>
      <c r="H39" s="42" t="s">
        <v>98</v>
      </c>
      <c r="I39" s="42" t="s">
        <v>98</v>
      </c>
      <c r="J39" s="42">
        <v>13.4</v>
      </c>
      <c r="K39" s="45">
        <v>20.6</v>
      </c>
      <c r="L39" s="42">
        <v>2268.0</v>
      </c>
      <c r="M39" s="42">
        <v>2268.0</v>
      </c>
      <c r="N39" s="42" t="s">
        <v>77</v>
      </c>
      <c r="O39" s="47">
        <v>0.5243055555555556</v>
      </c>
      <c r="P39" s="45">
        <v>3.4</v>
      </c>
      <c r="Q39" s="45">
        <v>3.8</v>
      </c>
      <c r="R39" s="51" t="s">
        <v>155</v>
      </c>
      <c r="S39" s="49" t="s">
        <v>90</v>
      </c>
      <c r="T39" s="49"/>
      <c r="V39" s="32"/>
      <c r="W39" s="32"/>
      <c r="X39" s="32"/>
      <c r="Y39" s="32"/>
      <c r="Z39" s="32"/>
      <c r="AA39" s="32"/>
      <c r="AB39" s="32"/>
      <c r="AC39" s="32"/>
      <c r="AD39" s="32"/>
      <c r="AE39" s="32"/>
      <c r="AF39" s="32"/>
      <c r="AG39" s="32"/>
      <c r="AH39" s="32"/>
    </row>
    <row r="40">
      <c r="A40" s="42" t="s">
        <v>11</v>
      </c>
      <c r="B40" s="43">
        <f t="shared" si="1"/>
        <v>43.71</v>
      </c>
      <c r="C40" s="42" t="str">
        <f t="shared" si="4"/>
        <v>1</v>
      </c>
      <c r="D40" s="13" t="s">
        <v>156</v>
      </c>
      <c r="E40" s="42">
        <v>2.0</v>
      </c>
      <c r="F40" s="42"/>
      <c r="G40" s="42"/>
      <c r="H40" s="42"/>
      <c r="I40" s="42"/>
      <c r="J40" s="42"/>
      <c r="K40" s="45">
        <v>24.2</v>
      </c>
      <c r="L40" s="42">
        <v>1951.0</v>
      </c>
      <c r="M40" s="42">
        <v>1974.0</v>
      </c>
      <c r="N40" s="50">
        <v>0.9409722222222222</v>
      </c>
      <c r="O40" s="47">
        <v>0.42430555555555555</v>
      </c>
      <c r="P40" s="45">
        <v>4.4</v>
      </c>
      <c r="Q40" s="45">
        <v>4.4</v>
      </c>
      <c r="R40" s="52" t="s">
        <v>157</v>
      </c>
      <c r="S40" s="49" t="s">
        <v>158</v>
      </c>
      <c r="T40" s="49"/>
      <c r="V40" s="32"/>
      <c r="W40" s="32"/>
      <c r="X40" s="32"/>
      <c r="Y40" s="32"/>
      <c r="Z40" s="32"/>
      <c r="AA40" s="32"/>
      <c r="AB40" s="32"/>
      <c r="AC40" s="32"/>
      <c r="AD40" s="32"/>
      <c r="AE40" s="32"/>
      <c r="AF40" s="32"/>
      <c r="AG40" s="32"/>
      <c r="AH40" s="32"/>
    </row>
    <row r="41">
      <c r="A41" s="42" t="s">
        <v>11</v>
      </c>
      <c r="B41" s="43">
        <f t="shared" si="1"/>
        <v>44.42</v>
      </c>
      <c r="C41" s="42" t="str">
        <f t="shared" si="4"/>
        <v>1</v>
      </c>
      <c r="D41" s="13" t="s">
        <v>159</v>
      </c>
      <c r="E41" s="42">
        <v>2.0</v>
      </c>
      <c r="F41" s="42">
        <v>1.0</v>
      </c>
      <c r="G41" s="42" t="s">
        <v>160</v>
      </c>
      <c r="H41" s="42" t="s">
        <v>98</v>
      </c>
      <c r="I41" s="42" t="s">
        <v>87</v>
      </c>
      <c r="J41" s="42">
        <v>14.8</v>
      </c>
      <c r="K41" s="45">
        <v>22.0</v>
      </c>
      <c r="L41" s="42">
        <v>2242.0</v>
      </c>
      <c r="M41" s="42">
        <v>2242.0</v>
      </c>
      <c r="N41" s="46">
        <v>0.6111111111111112</v>
      </c>
      <c r="O41" s="47">
        <v>0.6555555555555556</v>
      </c>
      <c r="P41" s="45">
        <v>2.8</v>
      </c>
      <c r="Q41" s="45">
        <f>44/(15+(3/60))</f>
        <v>2.92358804</v>
      </c>
      <c r="R41" s="51" t="s">
        <v>161</v>
      </c>
      <c r="S41" s="49" t="s">
        <v>127</v>
      </c>
      <c r="T41" s="49"/>
      <c r="V41" s="32"/>
      <c r="W41" s="32"/>
      <c r="X41" s="32"/>
      <c r="Y41" s="32"/>
      <c r="Z41" s="32"/>
      <c r="AA41" s="32"/>
      <c r="AB41" s="32"/>
      <c r="AC41" s="32"/>
      <c r="AD41" s="32"/>
      <c r="AE41" s="32"/>
      <c r="AF41" s="32"/>
      <c r="AG41" s="32"/>
      <c r="AH41" s="32"/>
    </row>
    <row r="42">
      <c r="A42" s="42" t="s">
        <v>11</v>
      </c>
      <c r="B42" s="43">
        <f t="shared" si="1"/>
        <v>46.1</v>
      </c>
      <c r="C42" s="42" t="str">
        <f t="shared" si="4"/>
        <v>2</v>
      </c>
      <c r="D42" s="13" t="s">
        <v>162</v>
      </c>
      <c r="E42" s="42">
        <v>3.0</v>
      </c>
      <c r="F42" s="42"/>
      <c r="G42" s="42"/>
      <c r="H42" s="42"/>
      <c r="I42" s="42"/>
      <c r="J42" s="42"/>
      <c r="K42" s="45">
        <v>23.4</v>
      </c>
      <c r="L42" s="42">
        <v>2270.0</v>
      </c>
      <c r="M42" s="42">
        <v>2820.0</v>
      </c>
      <c r="N42" s="46">
        <v>0.7708333333333334</v>
      </c>
      <c r="O42" s="42" t="s">
        <v>77</v>
      </c>
      <c r="P42" s="45" t="s">
        <v>77</v>
      </c>
      <c r="Q42" s="45" t="s">
        <v>77</v>
      </c>
      <c r="R42" s="42" t="s">
        <v>77</v>
      </c>
      <c r="S42" s="49" t="s">
        <v>104</v>
      </c>
      <c r="T42" s="49"/>
      <c r="V42" s="32"/>
      <c r="W42" s="32"/>
      <c r="X42" s="32"/>
      <c r="Y42" s="32"/>
      <c r="Z42" s="32"/>
      <c r="AA42" s="32"/>
      <c r="AB42" s="32"/>
      <c r="AC42" s="32"/>
      <c r="AD42" s="32"/>
      <c r="AE42" s="32"/>
      <c r="AF42" s="32"/>
      <c r="AG42" s="32"/>
      <c r="AH42" s="32"/>
    </row>
    <row r="43">
      <c r="A43" s="42" t="s">
        <v>11</v>
      </c>
      <c r="B43" s="43">
        <f t="shared" si="1"/>
        <v>46</v>
      </c>
      <c r="C43" s="42" t="str">
        <f t="shared" si="4"/>
        <v>2</v>
      </c>
      <c r="D43" s="13" t="s">
        <v>163</v>
      </c>
      <c r="E43" s="42">
        <v>1.0</v>
      </c>
      <c r="F43" s="42">
        <v>44719.0</v>
      </c>
      <c r="G43" s="42" t="s">
        <v>97</v>
      </c>
      <c r="H43" s="42" t="s">
        <v>87</v>
      </c>
      <c r="I43" s="42" t="s">
        <v>87</v>
      </c>
      <c r="J43" s="42">
        <v>80.0</v>
      </c>
      <c r="K43" s="45">
        <v>22.0</v>
      </c>
      <c r="L43" s="42">
        <v>2400.0</v>
      </c>
      <c r="M43" s="42">
        <v>2400.0</v>
      </c>
      <c r="N43" s="42" t="s">
        <v>77</v>
      </c>
      <c r="O43" s="47">
        <v>0.5</v>
      </c>
      <c r="P43" s="45">
        <v>3.8</v>
      </c>
      <c r="Q43" s="45">
        <v>4.3</v>
      </c>
      <c r="R43" s="51" t="s">
        <v>164</v>
      </c>
      <c r="S43" s="49" t="s">
        <v>90</v>
      </c>
      <c r="T43" s="49"/>
      <c r="V43" s="32"/>
      <c r="W43" s="32"/>
      <c r="X43" s="32"/>
      <c r="Y43" s="32"/>
      <c r="Z43" s="32"/>
      <c r="AA43" s="32"/>
      <c r="AB43" s="32"/>
      <c r="AC43" s="32"/>
      <c r="AD43" s="32"/>
      <c r="AE43" s="32"/>
      <c r="AF43" s="32"/>
      <c r="AG43" s="32"/>
      <c r="AH43" s="32"/>
    </row>
    <row r="44">
      <c r="A44" s="42" t="s">
        <v>11</v>
      </c>
      <c r="B44" s="43">
        <f t="shared" si="1"/>
        <v>45.83</v>
      </c>
      <c r="C44" s="42" t="str">
        <f t="shared" si="4"/>
        <v>2</v>
      </c>
      <c r="D44" s="13" t="s">
        <v>165</v>
      </c>
      <c r="E44" s="42">
        <v>1.0</v>
      </c>
      <c r="F44" s="42">
        <v>44719.0</v>
      </c>
      <c r="G44" s="42" t="s">
        <v>166</v>
      </c>
      <c r="H44" s="42" t="s">
        <v>98</v>
      </c>
      <c r="I44" s="42" t="s">
        <v>87</v>
      </c>
      <c r="J44" s="42">
        <v>56.1</v>
      </c>
      <c r="K44" s="45">
        <v>22.16</v>
      </c>
      <c r="L44" s="42">
        <v>2367.0</v>
      </c>
      <c r="M44" s="42">
        <v>2367.0</v>
      </c>
      <c r="N44" s="46">
        <v>0.7534722222222222</v>
      </c>
      <c r="O44" s="47">
        <v>0.42430555555555555</v>
      </c>
      <c r="P44" s="45">
        <v>4.5</v>
      </c>
      <c r="Q44" s="45">
        <v>4.8</v>
      </c>
      <c r="R44" s="51" t="s">
        <v>167</v>
      </c>
      <c r="S44" s="49" t="s">
        <v>127</v>
      </c>
      <c r="T44" s="49"/>
      <c r="V44" s="32"/>
      <c r="W44" s="32"/>
      <c r="X44" s="32"/>
      <c r="Y44" s="32"/>
      <c r="Z44" s="32"/>
      <c r="AA44" s="32"/>
      <c r="AB44" s="32"/>
      <c r="AC44" s="32"/>
      <c r="AD44" s="32"/>
      <c r="AE44" s="32"/>
      <c r="AF44" s="32"/>
      <c r="AG44" s="32"/>
      <c r="AH44" s="32"/>
    </row>
    <row r="45">
      <c r="A45" s="42" t="s">
        <v>11</v>
      </c>
      <c r="B45" s="43">
        <f t="shared" si="1"/>
        <v>47.26</v>
      </c>
      <c r="C45" s="42" t="str">
        <f t="shared" si="4"/>
        <v>2</v>
      </c>
      <c r="D45" s="13" t="s">
        <v>168</v>
      </c>
      <c r="E45" s="42">
        <v>2.0</v>
      </c>
      <c r="F45" s="42"/>
      <c r="G45" s="42"/>
      <c r="H45" s="42"/>
      <c r="I45" s="42"/>
      <c r="J45" s="42"/>
      <c r="K45" s="45">
        <v>26.8</v>
      </c>
      <c r="L45" s="42">
        <v>2046.0</v>
      </c>
      <c r="M45" s="42">
        <v>2046.0</v>
      </c>
      <c r="N45" s="46">
        <v>0.6944444444444444</v>
      </c>
      <c r="O45" s="42" t="s">
        <v>77</v>
      </c>
      <c r="P45" s="45" t="s">
        <v>77</v>
      </c>
      <c r="Q45" s="45" t="s">
        <v>77</v>
      </c>
      <c r="R45" s="42" t="s">
        <v>77</v>
      </c>
      <c r="S45" s="49" t="s">
        <v>95</v>
      </c>
      <c r="T45" s="49"/>
      <c r="V45" s="32"/>
      <c r="W45" s="32"/>
      <c r="X45" s="32"/>
      <c r="Y45" s="32"/>
      <c r="Z45" s="32"/>
      <c r="AA45" s="32"/>
      <c r="AB45" s="32"/>
      <c r="AC45" s="32"/>
      <c r="AD45" s="32"/>
      <c r="AE45" s="32"/>
      <c r="AF45" s="32"/>
      <c r="AG45" s="32"/>
      <c r="AH45" s="32"/>
    </row>
    <row r="46">
      <c r="A46" s="42" t="s">
        <v>11</v>
      </c>
      <c r="B46" s="43">
        <f t="shared" si="1"/>
        <v>47.43</v>
      </c>
      <c r="C46" s="42" t="str">
        <f t="shared" si="4"/>
        <v>2</v>
      </c>
      <c r="D46" s="13" t="s">
        <v>169</v>
      </c>
      <c r="E46" s="42">
        <v>1.0</v>
      </c>
      <c r="F46" s="42">
        <v>5.0</v>
      </c>
      <c r="G46" s="42" t="s">
        <v>86</v>
      </c>
      <c r="H46" s="42" t="s">
        <v>87</v>
      </c>
      <c r="I46" s="42" t="s">
        <v>87</v>
      </c>
      <c r="J46" s="42">
        <v>58.0</v>
      </c>
      <c r="K46" s="45">
        <v>25.65</v>
      </c>
      <c r="L46" s="42">
        <v>2178.0</v>
      </c>
      <c r="M46" s="42">
        <v>2178.0</v>
      </c>
      <c r="N46" s="46">
        <v>0.78125</v>
      </c>
      <c r="O46" s="47">
        <v>0.43333333333333335</v>
      </c>
      <c r="P46" s="45">
        <v>4.6</v>
      </c>
      <c r="Q46" s="45">
        <v>4.6</v>
      </c>
      <c r="R46" s="51" t="s">
        <v>170</v>
      </c>
      <c r="S46" s="49" t="s">
        <v>171</v>
      </c>
      <c r="T46" s="49" t="s">
        <v>91</v>
      </c>
      <c r="V46" s="32"/>
      <c r="W46" s="32"/>
      <c r="X46" s="32"/>
      <c r="Y46" s="32"/>
      <c r="Z46" s="32"/>
      <c r="AA46" s="32"/>
      <c r="AB46" s="32"/>
      <c r="AC46" s="32"/>
      <c r="AD46" s="32"/>
      <c r="AE46" s="32"/>
      <c r="AF46" s="32"/>
      <c r="AG46" s="32"/>
      <c r="AH46" s="32"/>
    </row>
    <row r="47">
      <c r="A47" s="42" t="s">
        <v>11</v>
      </c>
      <c r="B47" s="43">
        <f t="shared" si="1"/>
        <v>47.28</v>
      </c>
      <c r="C47" s="42" t="str">
        <f t="shared" si="4"/>
        <v>2</v>
      </c>
      <c r="D47" s="13" t="s">
        <v>172</v>
      </c>
      <c r="E47" s="42">
        <v>2.0</v>
      </c>
      <c r="F47" s="42"/>
      <c r="G47" s="42"/>
      <c r="H47" s="42"/>
      <c r="I47" s="42"/>
      <c r="J47" s="42"/>
      <c r="K47" s="45">
        <v>21.8</v>
      </c>
      <c r="L47" s="42">
        <v>2548.0</v>
      </c>
      <c r="M47" s="42">
        <v>1985.0</v>
      </c>
      <c r="N47" s="46">
        <v>0.8472222222222222</v>
      </c>
      <c r="O47" s="42" t="s">
        <v>77</v>
      </c>
      <c r="P47" s="45" t="s">
        <v>77</v>
      </c>
      <c r="Q47" s="45" t="s">
        <v>77</v>
      </c>
      <c r="R47" s="51" t="s">
        <v>149</v>
      </c>
      <c r="S47" s="49" t="s">
        <v>147</v>
      </c>
      <c r="T47" s="49"/>
      <c r="V47" s="32"/>
      <c r="W47" s="32"/>
      <c r="X47" s="32"/>
      <c r="Y47" s="32"/>
      <c r="Z47" s="32"/>
      <c r="AA47" s="32"/>
      <c r="AB47" s="32"/>
      <c r="AC47" s="32"/>
      <c r="AD47" s="32"/>
      <c r="AE47" s="32"/>
      <c r="AF47" s="32"/>
      <c r="AG47" s="32"/>
      <c r="AH47" s="32"/>
    </row>
    <row r="48">
      <c r="A48" s="42" t="s">
        <v>11</v>
      </c>
      <c r="B48" s="43">
        <f t="shared" si="1"/>
        <v>48.3</v>
      </c>
      <c r="C48" s="42" t="str">
        <f t="shared" si="4"/>
        <v>2</v>
      </c>
      <c r="D48" s="13" t="s">
        <v>173</v>
      </c>
      <c r="E48" s="42">
        <v>1.0</v>
      </c>
      <c r="F48" s="42">
        <v>5.0</v>
      </c>
      <c r="G48" s="42" t="s">
        <v>97</v>
      </c>
      <c r="H48" s="42" t="s">
        <v>87</v>
      </c>
      <c r="I48" s="42" t="s">
        <v>87</v>
      </c>
      <c r="J48" s="42">
        <v>49.0</v>
      </c>
      <c r="K48" s="45">
        <v>26.0</v>
      </c>
      <c r="L48" s="42">
        <v>2230.0</v>
      </c>
      <c r="M48" s="42">
        <v>2230.0</v>
      </c>
      <c r="N48" s="42" t="s">
        <v>77</v>
      </c>
      <c r="O48" s="47">
        <v>0.4097222222222222</v>
      </c>
      <c r="P48" s="45">
        <v>4.9</v>
      </c>
      <c r="Q48" s="45">
        <v>5.4</v>
      </c>
      <c r="R48" s="51" t="s">
        <v>174</v>
      </c>
      <c r="S48" s="49" t="s">
        <v>175</v>
      </c>
      <c r="T48" s="49"/>
      <c r="V48" s="32"/>
      <c r="W48" s="32"/>
      <c r="X48" s="32"/>
      <c r="Y48" s="32"/>
      <c r="Z48" s="32"/>
      <c r="AA48" s="32"/>
      <c r="AB48" s="32"/>
      <c r="AC48" s="32"/>
      <c r="AD48" s="32"/>
      <c r="AE48" s="32"/>
      <c r="AF48" s="32"/>
      <c r="AG48" s="32"/>
      <c r="AH48" s="32"/>
    </row>
    <row r="49">
      <c r="A49" s="42" t="s">
        <v>11</v>
      </c>
      <c r="B49" s="43">
        <f t="shared" si="1"/>
        <v>48.1</v>
      </c>
      <c r="C49" s="42" t="str">
        <f t="shared" si="4"/>
        <v>2</v>
      </c>
      <c r="D49" s="13" t="s">
        <v>176</v>
      </c>
      <c r="E49" s="42">
        <v>2.0</v>
      </c>
      <c r="F49" s="42">
        <v>5.0</v>
      </c>
      <c r="G49" s="42" t="s">
        <v>119</v>
      </c>
      <c r="H49" s="42" t="s">
        <v>87</v>
      </c>
      <c r="I49" s="42" t="s">
        <v>98</v>
      </c>
      <c r="J49" s="42">
        <v>55.0</v>
      </c>
      <c r="K49" s="45">
        <v>26.5</v>
      </c>
      <c r="L49" s="42">
        <v>2160.0</v>
      </c>
      <c r="M49" s="42">
        <v>2160.0</v>
      </c>
      <c r="N49" s="42" t="s">
        <v>77</v>
      </c>
      <c r="O49" s="47">
        <v>0.4701388888888889</v>
      </c>
      <c r="P49" s="45">
        <v>4.3</v>
      </c>
      <c r="Q49" s="45">
        <v>4.6</v>
      </c>
      <c r="R49" s="51" t="s">
        <v>177</v>
      </c>
      <c r="S49" s="49" t="s">
        <v>82</v>
      </c>
      <c r="T49" s="49"/>
      <c r="V49" s="32"/>
      <c r="W49" s="32"/>
      <c r="X49" s="32"/>
      <c r="Y49" s="32"/>
      <c r="Z49" s="32"/>
      <c r="AA49" s="32"/>
      <c r="AB49" s="32"/>
      <c r="AC49" s="32"/>
      <c r="AD49" s="32"/>
      <c r="AE49" s="32"/>
      <c r="AF49" s="32"/>
      <c r="AG49" s="32"/>
      <c r="AH49" s="32"/>
    </row>
    <row r="50">
      <c r="A50" s="42" t="s">
        <v>11</v>
      </c>
      <c r="B50" s="43">
        <f t="shared" si="1"/>
        <v>47.63</v>
      </c>
      <c r="C50" s="42" t="str">
        <f t="shared" si="4"/>
        <v>2</v>
      </c>
      <c r="D50" s="13" t="s">
        <v>178</v>
      </c>
      <c r="E50" s="42">
        <v>3.0</v>
      </c>
      <c r="F50" s="42"/>
      <c r="G50" s="42"/>
      <c r="H50" s="42"/>
      <c r="I50" s="42"/>
      <c r="J50" s="42"/>
      <c r="K50" s="45">
        <v>25.1</v>
      </c>
      <c r="L50" s="42">
        <v>2253.0</v>
      </c>
      <c r="M50" s="42">
        <v>2432.0</v>
      </c>
      <c r="N50" s="50">
        <v>0.8229166666666666</v>
      </c>
      <c r="O50" s="47">
        <v>0.8979166666666667</v>
      </c>
      <c r="P50" s="45">
        <v>2.2</v>
      </c>
      <c r="Q50" s="45">
        <v>2.2</v>
      </c>
      <c r="R50" s="51" t="s">
        <v>179</v>
      </c>
      <c r="S50" s="49" t="s">
        <v>171</v>
      </c>
      <c r="T50" s="49"/>
      <c r="V50" s="32"/>
      <c r="W50" s="32"/>
      <c r="X50" s="32"/>
      <c r="Y50" s="32"/>
      <c r="Z50" s="32"/>
      <c r="AA50" s="32"/>
      <c r="AB50" s="32"/>
      <c r="AC50" s="32"/>
      <c r="AD50" s="32"/>
      <c r="AE50" s="32"/>
      <c r="AF50" s="32"/>
      <c r="AG50" s="32"/>
      <c r="AH50" s="32"/>
    </row>
    <row r="51">
      <c r="A51" s="42" t="s">
        <v>11</v>
      </c>
      <c r="B51" s="43">
        <f t="shared" si="1"/>
        <v>47.66</v>
      </c>
      <c r="C51" s="42" t="str">
        <f t="shared" si="4"/>
        <v>2</v>
      </c>
      <c r="D51" s="13" t="s">
        <v>180</v>
      </c>
      <c r="E51" s="42">
        <v>3.0</v>
      </c>
      <c r="F51" s="42">
        <v>44719.0</v>
      </c>
      <c r="G51" s="42" t="s">
        <v>119</v>
      </c>
      <c r="H51" s="42" t="s">
        <v>87</v>
      </c>
      <c r="I51" s="42" t="s">
        <v>98</v>
      </c>
      <c r="J51" s="42">
        <v>69.9</v>
      </c>
      <c r="K51" s="45">
        <v>21.1</v>
      </c>
      <c r="L51" s="42">
        <v>2656.0</v>
      </c>
      <c r="M51" s="42">
        <v>2656.0</v>
      </c>
      <c r="N51" s="46">
        <v>0.7625</v>
      </c>
      <c r="O51" s="50">
        <v>0.44027777777777777</v>
      </c>
      <c r="P51" s="45">
        <f>B51/(10+(34/60))</f>
        <v>4.510410095</v>
      </c>
      <c r="Q51" s="45">
        <v>4.4</v>
      </c>
      <c r="R51" s="51" t="s">
        <v>181</v>
      </c>
      <c r="S51" s="49" t="s">
        <v>133</v>
      </c>
      <c r="T51" s="49"/>
      <c r="V51" s="32"/>
      <c r="W51" s="32"/>
      <c r="X51" s="32"/>
      <c r="Y51" s="32"/>
      <c r="Z51" s="32"/>
      <c r="AA51" s="32"/>
      <c r="AB51" s="32"/>
      <c r="AC51" s="32"/>
      <c r="AD51" s="32"/>
      <c r="AE51" s="32"/>
      <c r="AF51" s="32"/>
      <c r="AG51" s="32"/>
      <c r="AH51" s="32"/>
    </row>
    <row r="52">
      <c r="A52" s="42" t="s">
        <v>11</v>
      </c>
      <c r="B52" s="43">
        <f t="shared" si="1"/>
        <v>48.65</v>
      </c>
      <c r="C52" s="42" t="str">
        <f t="shared" si="4"/>
        <v>2</v>
      </c>
      <c r="D52" s="13" t="s">
        <v>182</v>
      </c>
      <c r="E52" s="42">
        <v>1.0</v>
      </c>
      <c r="F52" s="42">
        <v>5.0</v>
      </c>
      <c r="G52" s="42" t="s">
        <v>119</v>
      </c>
      <c r="H52" s="42" t="s">
        <v>87</v>
      </c>
      <c r="I52" s="42" t="s">
        <v>98</v>
      </c>
      <c r="J52" s="42">
        <v>52.9</v>
      </c>
      <c r="K52" s="45">
        <v>26.57</v>
      </c>
      <c r="L52" s="42">
        <v>2208.0</v>
      </c>
      <c r="M52" s="42">
        <v>2208.0</v>
      </c>
      <c r="N52" s="46">
        <v>0.9583333333333334</v>
      </c>
      <c r="O52" s="47">
        <v>0.5104166666666666</v>
      </c>
      <c r="P52" s="45">
        <v>4.0</v>
      </c>
      <c r="Q52" s="45">
        <v>4.1</v>
      </c>
      <c r="R52" s="51" t="s">
        <v>183</v>
      </c>
      <c r="S52" s="49" t="s">
        <v>184</v>
      </c>
      <c r="T52" s="49" t="s">
        <v>91</v>
      </c>
      <c r="V52" s="32"/>
      <c r="W52" s="32"/>
      <c r="X52" s="32"/>
      <c r="Y52" s="32"/>
      <c r="Z52" s="32"/>
      <c r="AA52" s="32"/>
      <c r="AB52" s="32"/>
      <c r="AC52" s="32"/>
      <c r="AD52" s="32"/>
      <c r="AE52" s="32"/>
      <c r="AF52" s="32"/>
      <c r="AG52" s="32"/>
      <c r="AH52" s="32"/>
    </row>
    <row r="53">
      <c r="A53" s="42" t="s">
        <v>11</v>
      </c>
      <c r="B53" s="43">
        <f t="shared" si="1"/>
        <v>49.12</v>
      </c>
      <c r="C53" s="42" t="str">
        <f t="shared" si="4"/>
        <v>2</v>
      </c>
      <c r="D53" s="13" t="s">
        <v>185</v>
      </c>
      <c r="E53" s="42">
        <v>2.0</v>
      </c>
      <c r="F53" s="42">
        <v>44845.0</v>
      </c>
      <c r="G53" s="42" t="s">
        <v>186</v>
      </c>
      <c r="H53" s="42" t="s">
        <v>98</v>
      </c>
      <c r="I53" s="42" t="s">
        <v>87</v>
      </c>
      <c r="J53" s="42">
        <v>90.0</v>
      </c>
      <c r="K53" s="45">
        <v>28.4</v>
      </c>
      <c r="L53" s="42">
        <v>2072.0</v>
      </c>
      <c r="M53" s="42">
        <v>2072.0</v>
      </c>
      <c r="N53" s="46">
        <v>0.5729166666666666</v>
      </c>
      <c r="O53" s="42">
        <v>14.52</v>
      </c>
      <c r="P53" s="45">
        <v>3.3</v>
      </c>
      <c r="Q53" s="45">
        <v>4.3</v>
      </c>
      <c r="R53" s="51" t="s">
        <v>187</v>
      </c>
      <c r="S53" s="49" t="s">
        <v>95</v>
      </c>
      <c r="T53" s="49" t="s">
        <v>91</v>
      </c>
      <c r="V53" s="32"/>
      <c r="W53" s="32"/>
      <c r="X53" s="32"/>
      <c r="Y53" s="32"/>
      <c r="Z53" s="32"/>
      <c r="AA53" s="32"/>
      <c r="AB53" s="32"/>
      <c r="AC53" s="32"/>
      <c r="AD53" s="32"/>
      <c r="AE53" s="32"/>
      <c r="AF53" s="32"/>
      <c r="AG53" s="32"/>
      <c r="AH53" s="32"/>
    </row>
    <row r="54">
      <c r="A54" s="42" t="s">
        <v>11</v>
      </c>
      <c r="B54" s="43">
        <f t="shared" si="1"/>
        <v>49</v>
      </c>
      <c r="C54" s="42" t="str">
        <f t="shared" si="4"/>
        <v>2</v>
      </c>
      <c r="D54" s="13" t="s">
        <v>188</v>
      </c>
      <c r="E54" s="42">
        <v>3.0</v>
      </c>
      <c r="F54" s="42"/>
      <c r="G54" s="42"/>
      <c r="H54" s="42"/>
      <c r="I54" s="42"/>
      <c r="J54" s="42"/>
      <c r="K54" s="45">
        <v>25.5</v>
      </c>
      <c r="L54" s="42">
        <v>2350.0</v>
      </c>
      <c r="M54" s="42">
        <v>2350.0</v>
      </c>
      <c r="N54" s="53">
        <v>0.71875</v>
      </c>
      <c r="O54" s="47">
        <v>0.42083333333333334</v>
      </c>
      <c r="P54" s="45">
        <v>4.9</v>
      </c>
      <c r="Q54" s="45">
        <v>5.4</v>
      </c>
      <c r="R54" s="51" t="s">
        <v>189</v>
      </c>
      <c r="S54" s="42" t="s">
        <v>95</v>
      </c>
      <c r="T54" s="42" t="s">
        <v>91</v>
      </c>
      <c r="V54" s="32"/>
      <c r="W54" s="32"/>
      <c r="X54" s="32"/>
      <c r="Y54" s="32"/>
      <c r="Z54" s="32"/>
      <c r="AA54" s="32"/>
      <c r="AB54" s="32"/>
      <c r="AC54" s="32"/>
      <c r="AD54" s="32"/>
      <c r="AE54" s="32"/>
      <c r="AF54" s="32"/>
      <c r="AG54" s="32"/>
      <c r="AH54" s="32"/>
    </row>
    <row r="55">
      <c r="A55" s="42" t="s">
        <v>11</v>
      </c>
      <c r="B55" s="43">
        <f t="shared" si="1"/>
        <v>48.64</v>
      </c>
      <c r="C55" s="42" t="str">
        <f t="shared" si="4"/>
        <v>2</v>
      </c>
      <c r="D55" s="13" t="s">
        <v>190</v>
      </c>
      <c r="E55" s="42">
        <v>2.0</v>
      </c>
      <c r="F55" s="42">
        <v>44750.0</v>
      </c>
      <c r="G55" s="42" t="s">
        <v>97</v>
      </c>
      <c r="H55" s="42" t="s">
        <v>87</v>
      </c>
      <c r="I55" s="42" t="s">
        <v>87</v>
      </c>
      <c r="J55" s="42">
        <v>69.0</v>
      </c>
      <c r="K55" s="42">
        <v>27.5</v>
      </c>
      <c r="L55" s="42">
        <v>2114.0</v>
      </c>
      <c r="M55" s="42">
        <v>2114.0</v>
      </c>
      <c r="N55" s="50">
        <v>0.71875</v>
      </c>
      <c r="O55" s="47">
        <v>0.30972222222222223</v>
      </c>
      <c r="P55" s="45">
        <v>6.5</v>
      </c>
      <c r="Q55" s="45">
        <v>7.2</v>
      </c>
      <c r="R55" s="51" t="s">
        <v>191</v>
      </c>
      <c r="S55" s="49" t="s">
        <v>175</v>
      </c>
      <c r="T55" s="42"/>
      <c r="V55" s="32"/>
      <c r="W55" s="32"/>
      <c r="X55" s="32"/>
      <c r="Y55" s="32"/>
      <c r="Z55" s="32"/>
      <c r="AA55" s="32"/>
      <c r="AB55" s="32"/>
      <c r="AC55" s="32"/>
      <c r="AD55" s="32"/>
      <c r="AE55" s="32"/>
      <c r="AF55" s="32"/>
      <c r="AG55" s="32"/>
      <c r="AH55" s="32"/>
    </row>
    <row r="56">
      <c r="A56" s="54" t="s">
        <v>13</v>
      </c>
      <c r="B56" s="55">
        <f t="shared" si="1"/>
        <v>50.45</v>
      </c>
      <c r="C56" s="54" t="str">
        <f t="shared" si="4"/>
        <v>2</v>
      </c>
      <c r="D56" s="15" t="s">
        <v>192</v>
      </c>
      <c r="E56" s="54">
        <v>1.0</v>
      </c>
      <c r="F56" s="54"/>
      <c r="G56" s="54"/>
      <c r="H56" s="54"/>
      <c r="I56" s="54"/>
      <c r="J56" s="54"/>
      <c r="K56" s="56">
        <v>29.1</v>
      </c>
      <c r="L56" s="54">
        <v>2135.0</v>
      </c>
      <c r="M56" s="54">
        <v>2135.0</v>
      </c>
      <c r="N56" s="57">
        <v>0.6736111111111112</v>
      </c>
      <c r="O56" s="58">
        <v>0.5284722222222222</v>
      </c>
      <c r="P56" s="56">
        <v>4.0</v>
      </c>
      <c r="Q56" s="56">
        <v>4.7</v>
      </c>
      <c r="R56" s="59" t="s">
        <v>193</v>
      </c>
      <c r="S56" s="60" t="s">
        <v>95</v>
      </c>
      <c r="T56" s="60"/>
      <c r="V56" s="32"/>
      <c r="W56" s="32"/>
      <c r="X56" s="32"/>
      <c r="Y56" s="32"/>
      <c r="Z56" s="32"/>
      <c r="AA56" s="32"/>
      <c r="AB56" s="32"/>
      <c r="AC56" s="32"/>
      <c r="AD56" s="32"/>
      <c r="AE56" s="32"/>
      <c r="AF56" s="32"/>
      <c r="AG56" s="32"/>
      <c r="AH56" s="32"/>
    </row>
    <row r="57">
      <c r="A57" s="54" t="s">
        <v>13</v>
      </c>
      <c r="B57" s="55">
        <f t="shared" si="1"/>
        <v>50.85</v>
      </c>
      <c r="C57" s="54" t="str">
        <f t="shared" si="4"/>
        <v>2</v>
      </c>
      <c r="D57" s="15" t="s">
        <v>194</v>
      </c>
      <c r="E57" s="54">
        <v>1.0</v>
      </c>
      <c r="F57" s="54">
        <v>44719.0</v>
      </c>
      <c r="G57" s="54" t="s">
        <v>97</v>
      </c>
      <c r="H57" s="54" t="s">
        <v>87</v>
      </c>
      <c r="I57" s="54" t="s">
        <v>98</v>
      </c>
      <c r="J57" s="54">
        <v>60.0</v>
      </c>
      <c r="K57" s="56">
        <v>28.5</v>
      </c>
      <c r="L57" s="54">
        <v>2235.0</v>
      </c>
      <c r="M57" s="54">
        <v>2235.0</v>
      </c>
      <c r="N57" s="61">
        <v>0.7673611111111112</v>
      </c>
      <c r="O57" s="58">
        <v>0.5333333333333333</v>
      </c>
      <c r="P57" s="56">
        <v>4.0</v>
      </c>
      <c r="Q57" s="56">
        <v>4.5</v>
      </c>
      <c r="R57" s="59" t="s">
        <v>195</v>
      </c>
      <c r="S57" s="60" t="s">
        <v>104</v>
      </c>
      <c r="T57" s="60"/>
      <c r="V57" s="32"/>
      <c r="W57" s="32"/>
      <c r="X57" s="32"/>
      <c r="Y57" s="32"/>
      <c r="Z57" s="32"/>
      <c r="AA57" s="32"/>
      <c r="AB57" s="32"/>
      <c r="AC57" s="32"/>
      <c r="AD57" s="32"/>
      <c r="AE57" s="32"/>
      <c r="AF57" s="32"/>
      <c r="AG57" s="32"/>
      <c r="AH57" s="32"/>
    </row>
    <row r="58">
      <c r="A58" s="54" t="s">
        <v>13</v>
      </c>
      <c r="B58" s="55">
        <f t="shared" si="1"/>
        <v>51.27</v>
      </c>
      <c r="C58" s="54" t="str">
        <f t="shared" si="4"/>
        <v>2</v>
      </c>
      <c r="D58" s="15" t="s">
        <v>196</v>
      </c>
      <c r="E58" s="54">
        <v>3.0</v>
      </c>
      <c r="F58" s="54">
        <v>44687.0</v>
      </c>
      <c r="G58" s="54" t="s">
        <v>197</v>
      </c>
      <c r="H58" s="54" t="s">
        <v>98</v>
      </c>
      <c r="I58" s="54" t="s">
        <v>98</v>
      </c>
      <c r="J58" s="54">
        <v>50.0</v>
      </c>
      <c r="K58" s="56">
        <v>25.4</v>
      </c>
      <c r="L58" s="54">
        <v>2587.0</v>
      </c>
      <c r="M58" s="54">
        <v>2587.0</v>
      </c>
      <c r="N58" s="54" t="s">
        <v>77</v>
      </c>
      <c r="O58" s="58">
        <v>0.6520833333333333</v>
      </c>
      <c r="P58" s="56">
        <v>3.3</v>
      </c>
      <c r="Q58" s="56">
        <v>3.8</v>
      </c>
      <c r="R58" s="59" t="s">
        <v>198</v>
      </c>
      <c r="S58" s="60" t="s">
        <v>104</v>
      </c>
      <c r="T58" s="60"/>
      <c r="V58" s="32"/>
      <c r="W58" s="32"/>
      <c r="X58" s="32"/>
      <c r="Y58" s="32"/>
      <c r="Z58" s="32"/>
      <c r="AA58" s="32"/>
      <c r="AB58" s="32"/>
      <c r="AC58" s="32"/>
      <c r="AD58" s="32"/>
      <c r="AE58" s="32"/>
      <c r="AF58" s="32"/>
      <c r="AG58" s="32"/>
      <c r="AH58" s="32"/>
    </row>
    <row r="59">
      <c r="A59" s="54" t="s">
        <v>13</v>
      </c>
      <c r="B59" s="55">
        <f t="shared" si="1"/>
        <v>51.5</v>
      </c>
      <c r="C59" s="54" t="str">
        <f t="shared" si="4"/>
        <v>2</v>
      </c>
      <c r="D59" s="15" t="s">
        <v>78</v>
      </c>
      <c r="E59" s="54">
        <v>6.0</v>
      </c>
      <c r="F59" s="54" t="s">
        <v>199</v>
      </c>
      <c r="G59" s="54" t="s">
        <v>200</v>
      </c>
      <c r="H59" s="54" t="s">
        <v>87</v>
      </c>
      <c r="I59" s="54" t="s">
        <v>87</v>
      </c>
      <c r="J59" s="54">
        <v>320.0</v>
      </c>
      <c r="K59" s="56">
        <v>27.75</v>
      </c>
      <c r="L59" s="54">
        <v>2375.0</v>
      </c>
      <c r="M59" s="54">
        <v>2375.0</v>
      </c>
      <c r="N59" s="57">
        <v>0.6666666666666666</v>
      </c>
      <c r="O59" s="58">
        <v>0.25277777777777777</v>
      </c>
      <c r="P59" s="56">
        <v>8.5</v>
      </c>
      <c r="Q59" s="56">
        <v>8.6</v>
      </c>
      <c r="R59" s="59" t="s">
        <v>201</v>
      </c>
      <c r="S59" s="60" t="s">
        <v>78</v>
      </c>
      <c r="T59" s="60" t="s">
        <v>91</v>
      </c>
      <c r="V59" s="32"/>
      <c r="W59" s="32"/>
      <c r="X59" s="32"/>
      <c r="Y59" s="32"/>
      <c r="Z59" s="32"/>
      <c r="AA59" s="32"/>
      <c r="AB59" s="32"/>
      <c r="AC59" s="32"/>
      <c r="AD59" s="32"/>
      <c r="AE59" s="32"/>
      <c r="AF59" s="32"/>
      <c r="AG59" s="32"/>
      <c r="AH59" s="32"/>
    </row>
    <row r="60">
      <c r="A60" s="54" t="s">
        <v>13</v>
      </c>
      <c r="B60" s="55">
        <f t="shared" si="1"/>
        <v>51.69</v>
      </c>
      <c r="C60" s="54" t="str">
        <f t="shared" si="4"/>
        <v>2</v>
      </c>
      <c r="D60" s="15" t="s">
        <v>202</v>
      </c>
      <c r="E60" s="54">
        <v>2.0</v>
      </c>
      <c r="F60" s="54" t="s">
        <v>203</v>
      </c>
      <c r="G60" s="54" t="s">
        <v>86</v>
      </c>
      <c r="H60" s="54" t="s">
        <v>87</v>
      </c>
      <c r="I60" s="54" t="s">
        <v>87</v>
      </c>
      <c r="J60" s="54" t="s">
        <v>204</v>
      </c>
      <c r="K60" s="56">
        <v>25.88</v>
      </c>
      <c r="L60" s="54">
        <v>2581.0</v>
      </c>
      <c r="M60" s="54">
        <v>2581.0</v>
      </c>
      <c r="N60" s="54" t="s">
        <v>77</v>
      </c>
      <c r="O60" s="58">
        <v>0.48680555555555555</v>
      </c>
      <c r="P60" s="56">
        <f>B60/(11+(41/60))</f>
        <v>4.42425107</v>
      </c>
      <c r="Q60" s="56">
        <v>4.5</v>
      </c>
      <c r="R60" s="59" t="s">
        <v>205</v>
      </c>
      <c r="S60" s="60" t="s">
        <v>175</v>
      </c>
      <c r="T60" s="60"/>
      <c r="V60" s="32"/>
      <c r="W60" s="32"/>
      <c r="X60" s="32"/>
      <c r="Y60" s="32"/>
      <c r="Z60" s="32"/>
      <c r="AA60" s="32"/>
      <c r="AB60" s="32"/>
      <c r="AC60" s="32"/>
      <c r="AD60" s="32"/>
      <c r="AE60" s="32"/>
      <c r="AF60" s="32"/>
      <c r="AG60" s="32"/>
      <c r="AH60" s="32"/>
    </row>
    <row r="61">
      <c r="A61" s="54" t="s">
        <v>13</v>
      </c>
      <c r="B61" s="55">
        <f t="shared" si="1"/>
        <v>53.31</v>
      </c>
      <c r="C61" s="54" t="str">
        <f t="shared" si="4"/>
        <v>2</v>
      </c>
      <c r="D61" s="15" t="s">
        <v>206</v>
      </c>
      <c r="E61" s="54">
        <v>1.0</v>
      </c>
      <c r="F61" s="54"/>
      <c r="G61" s="54"/>
      <c r="H61" s="54"/>
      <c r="I61" s="54"/>
      <c r="J61" s="54"/>
      <c r="K61" s="56">
        <v>30.3</v>
      </c>
      <c r="L61" s="54">
        <v>2301.0</v>
      </c>
      <c r="M61" s="54">
        <v>2456.0</v>
      </c>
      <c r="N61" s="54" t="s">
        <v>77</v>
      </c>
      <c r="O61" s="54" t="s">
        <v>77</v>
      </c>
      <c r="P61" s="56" t="s">
        <v>77</v>
      </c>
      <c r="Q61" s="56" t="s">
        <v>77</v>
      </c>
      <c r="R61" s="62" t="s">
        <v>207</v>
      </c>
      <c r="S61" s="60" t="s">
        <v>175</v>
      </c>
      <c r="T61" s="60"/>
      <c r="V61" s="32"/>
      <c r="W61" s="32"/>
      <c r="X61" s="32"/>
      <c r="Y61" s="32"/>
      <c r="Z61" s="32"/>
      <c r="AA61" s="32"/>
      <c r="AB61" s="32"/>
      <c r="AC61" s="32"/>
      <c r="AD61" s="32"/>
      <c r="AE61" s="32"/>
      <c r="AF61" s="32"/>
      <c r="AG61" s="32"/>
      <c r="AH61" s="32"/>
    </row>
    <row r="62">
      <c r="A62" s="54" t="s">
        <v>13</v>
      </c>
      <c r="B62" s="55">
        <f t="shared" si="1"/>
        <v>54.36</v>
      </c>
      <c r="C62" s="54" t="str">
        <f t="shared" si="4"/>
        <v>2</v>
      </c>
      <c r="D62" s="15" t="s">
        <v>133</v>
      </c>
      <c r="E62" s="54">
        <v>4.0</v>
      </c>
      <c r="F62" s="54"/>
      <c r="G62" s="54"/>
      <c r="H62" s="54"/>
      <c r="I62" s="54"/>
      <c r="J62" s="54"/>
      <c r="K62" s="56">
        <v>25.9</v>
      </c>
      <c r="L62" s="54">
        <v>2846.0</v>
      </c>
      <c r="M62" s="54">
        <v>2846.0</v>
      </c>
      <c r="N62" s="57">
        <v>0.9652777777777778</v>
      </c>
      <c r="O62" s="58">
        <v>0.41597222222222224</v>
      </c>
      <c r="P62" s="56">
        <v>5.0</v>
      </c>
      <c r="Q62" s="56">
        <v>5.3</v>
      </c>
      <c r="R62" s="59" t="s">
        <v>208</v>
      </c>
      <c r="S62" s="60" t="s">
        <v>133</v>
      </c>
      <c r="T62" s="60" t="s">
        <v>91</v>
      </c>
      <c r="V62" s="32"/>
      <c r="W62" s="32"/>
      <c r="X62" s="32"/>
      <c r="Y62" s="32"/>
      <c r="Z62" s="32"/>
      <c r="AA62" s="32"/>
      <c r="AB62" s="32"/>
      <c r="AC62" s="32"/>
      <c r="AD62" s="32"/>
      <c r="AE62" s="32"/>
      <c r="AF62" s="32"/>
      <c r="AG62" s="32"/>
      <c r="AH62" s="32"/>
    </row>
    <row r="63">
      <c r="A63" s="54" t="s">
        <v>13</v>
      </c>
      <c r="B63" s="55">
        <f t="shared" si="1"/>
        <v>54.12</v>
      </c>
      <c r="C63" s="54" t="str">
        <f t="shared" si="4"/>
        <v>2</v>
      </c>
      <c r="D63" s="15" t="s">
        <v>209</v>
      </c>
      <c r="E63" s="54">
        <v>0.0</v>
      </c>
      <c r="F63" s="54"/>
      <c r="G63" s="54"/>
      <c r="H63" s="54"/>
      <c r="I63" s="54"/>
      <c r="J63" s="54"/>
      <c r="K63" s="56">
        <v>41.29</v>
      </c>
      <c r="L63" s="54">
        <v>1283.0</v>
      </c>
      <c r="M63" s="54">
        <v>1283.0</v>
      </c>
      <c r="N63" s="61">
        <v>0.7083333333333334</v>
      </c>
      <c r="O63" s="58">
        <v>0.4444444444444444</v>
      </c>
      <c r="P63" s="56">
        <v>5.1</v>
      </c>
      <c r="Q63" s="56">
        <v>5.4</v>
      </c>
      <c r="R63" s="59" t="s">
        <v>210</v>
      </c>
      <c r="S63" s="60" t="s">
        <v>175</v>
      </c>
      <c r="T63" s="60"/>
      <c r="V63" s="32"/>
      <c r="W63" s="32"/>
      <c r="X63" s="32"/>
      <c r="Y63" s="32"/>
      <c r="Z63" s="32"/>
      <c r="AA63" s="32"/>
      <c r="AB63" s="32"/>
      <c r="AC63" s="32"/>
      <c r="AD63" s="32"/>
      <c r="AE63" s="32"/>
      <c r="AF63" s="32"/>
      <c r="AG63" s="32"/>
      <c r="AH63" s="32"/>
    </row>
    <row r="64">
      <c r="A64" s="54" t="s">
        <v>13</v>
      </c>
      <c r="B64" s="55">
        <f t="shared" si="1"/>
        <v>53.73</v>
      </c>
      <c r="C64" s="54" t="str">
        <f t="shared" si="4"/>
        <v>2</v>
      </c>
      <c r="D64" s="15" t="s">
        <v>211</v>
      </c>
      <c r="E64" s="54">
        <v>2.0</v>
      </c>
      <c r="F64" s="54"/>
      <c r="G64" s="54"/>
      <c r="H64" s="54"/>
      <c r="I64" s="54"/>
      <c r="J64" s="54"/>
      <c r="K64" s="56">
        <v>30.4</v>
      </c>
      <c r="L64" s="54">
        <v>2333.0</v>
      </c>
      <c r="M64" s="54">
        <v>2333.0</v>
      </c>
      <c r="N64" s="63" t="s">
        <v>212</v>
      </c>
      <c r="O64" s="58">
        <v>0.41388888888888886</v>
      </c>
      <c r="P64" s="56">
        <v>5.4</v>
      </c>
      <c r="Q64" s="56">
        <v>5.7</v>
      </c>
      <c r="R64" s="59" t="s">
        <v>213</v>
      </c>
      <c r="S64" s="60" t="s">
        <v>158</v>
      </c>
      <c r="T64" s="60"/>
      <c r="V64" s="32"/>
      <c r="W64" s="32"/>
      <c r="X64" s="32"/>
      <c r="Y64" s="32"/>
      <c r="Z64" s="32"/>
      <c r="AA64" s="32"/>
      <c r="AB64" s="32"/>
      <c r="AC64" s="32"/>
      <c r="AD64" s="32"/>
      <c r="AE64" s="32"/>
      <c r="AF64" s="32"/>
      <c r="AG64" s="32"/>
      <c r="AH64" s="32"/>
    </row>
    <row r="65">
      <c r="A65" s="54" t="s">
        <v>13</v>
      </c>
      <c r="B65" s="55">
        <f t="shared" si="1"/>
        <v>54.52</v>
      </c>
      <c r="C65" s="54" t="str">
        <f t="shared" si="4"/>
        <v>2</v>
      </c>
      <c r="D65" s="15" t="s">
        <v>214</v>
      </c>
      <c r="E65" s="54">
        <v>1.0</v>
      </c>
      <c r="F65" s="54"/>
      <c r="G65" s="54"/>
      <c r="H65" s="54"/>
      <c r="I65" s="54"/>
      <c r="J65" s="54"/>
      <c r="K65" s="56">
        <v>34.5</v>
      </c>
      <c r="L65" s="54">
        <v>2002.0</v>
      </c>
      <c r="M65" s="54">
        <v>2002.0</v>
      </c>
      <c r="N65" s="61">
        <v>0.9027777777777778</v>
      </c>
      <c r="O65" s="58">
        <v>0.5326388888888889</v>
      </c>
      <c r="P65" s="56">
        <v>4.3</v>
      </c>
      <c r="Q65" s="56">
        <v>5.3</v>
      </c>
      <c r="R65" s="59" t="s">
        <v>215</v>
      </c>
      <c r="S65" s="60" t="s">
        <v>95</v>
      </c>
      <c r="T65" s="60"/>
      <c r="V65" s="32"/>
      <c r="W65" s="32"/>
      <c r="X65" s="32"/>
      <c r="Y65" s="32"/>
      <c r="Z65" s="32"/>
      <c r="AA65" s="32"/>
      <c r="AB65" s="32"/>
      <c r="AC65" s="32"/>
      <c r="AD65" s="32"/>
      <c r="AE65" s="32"/>
      <c r="AF65" s="32"/>
      <c r="AG65" s="32"/>
      <c r="AH65" s="32"/>
    </row>
    <row r="66">
      <c r="A66" s="54" t="s">
        <v>13</v>
      </c>
      <c r="B66" s="55">
        <f t="shared" si="1"/>
        <v>55.34</v>
      </c>
      <c r="C66" s="54" t="str">
        <f t="shared" si="4"/>
        <v>2</v>
      </c>
      <c r="D66" s="15" t="s">
        <v>216</v>
      </c>
      <c r="E66" s="54">
        <v>1.0</v>
      </c>
      <c r="F66" s="54"/>
      <c r="G66" s="54"/>
      <c r="H66" s="54"/>
      <c r="I66" s="54"/>
      <c r="J66" s="54"/>
      <c r="K66" s="56">
        <v>26.83</v>
      </c>
      <c r="L66" s="54">
        <v>2851.0</v>
      </c>
      <c r="M66" s="54">
        <v>2851.0</v>
      </c>
      <c r="N66" s="64">
        <v>1.1527777777777777</v>
      </c>
      <c r="O66" s="58">
        <v>0.43472222222222223</v>
      </c>
      <c r="P66" s="56">
        <v>5.3</v>
      </c>
      <c r="Q66" s="56">
        <v>5.8</v>
      </c>
      <c r="R66" s="59" t="s">
        <v>217</v>
      </c>
      <c r="S66" s="60" t="s">
        <v>184</v>
      </c>
      <c r="T66" s="60"/>
      <c r="V66" s="32"/>
      <c r="W66" s="32"/>
      <c r="X66" s="32"/>
      <c r="Y66" s="32"/>
      <c r="Z66" s="32"/>
      <c r="AA66" s="32"/>
      <c r="AB66" s="32"/>
      <c r="AC66" s="32"/>
      <c r="AD66" s="32"/>
      <c r="AE66" s="32"/>
      <c r="AF66" s="32"/>
      <c r="AG66" s="32"/>
      <c r="AH66" s="32"/>
    </row>
    <row r="67">
      <c r="A67" s="54" t="s">
        <v>13</v>
      </c>
      <c r="B67" s="55">
        <f t="shared" si="1"/>
        <v>54.79</v>
      </c>
      <c r="C67" s="54" t="str">
        <f t="shared" si="4"/>
        <v>2</v>
      </c>
      <c r="D67" s="15" t="s">
        <v>218</v>
      </c>
      <c r="E67" s="54">
        <v>1.0</v>
      </c>
      <c r="F67" s="54"/>
      <c r="G67" s="54"/>
      <c r="H67" s="54"/>
      <c r="I67" s="54"/>
      <c r="J67" s="54"/>
      <c r="K67" s="56">
        <v>27.86</v>
      </c>
      <c r="L67" s="54">
        <v>2693.0</v>
      </c>
      <c r="M67" s="54">
        <v>2693.0</v>
      </c>
      <c r="N67" s="54" t="s">
        <v>77</v>
      </c>
      <c r="O67" s="58">
        <v>0.5138888888888888</v>
      </c>
      <c r="P67" s="56">
        <v>4.4</v>
      </c>
      <c r="Q67" s="56">
        <v>5.2</v>
      </c>
      <c r="R67" s="65" t="s">
        <v>219</v>
      </c>
      <c r="S67" s="60" t="s">
        <v>90</v>
      </c>
      <c r="T67" s="60"/>
      <c r="V67" s="32"/>
      <c r="W67" s="32"/>
      <c r="X67" s="32"/>
      <c r="Y67" s="32"/>
      <c r="Z67" s="32"/>
      <c r="AA67" s="32"/>
      <c r="AB67" s="32"/>
      <c r="AC67" s="32"/>
      <c r="AD67" s="32"/>
      <c r="AE67" s="32"/>
      <c r="AF67" s="32"/>
      <c r="AG67" s="32"/>
      <c r="AH67" s="32"/>
    </row>
    <row r="68">
      <c r="A68" s="54" t="s">
        <v>13</v>
      </c>
      <c r="B68" s="55">
        <f t="shared" si="1"/>
        <v>55.93</v>
      </c>
      <c r="C68" s="54" t="str">
        <f t="shared" si="4"/>
        <v>2</v>
      </c>
      <c r="D68" s="15" t="s">
        <v>220</v>
      </c>
      <c r="E68" s="54">
        <v>2.0</v>
      </c>
      <c r="F68" s="54"/>
      <c r="G68" s="54"/>
      <c r="H68" s="54"/>
      <c r="I68" s="54"/>
      <c r="J68" s="54"/>
      <c r="K68" s="56">
        <v>37.97</v>
      </c>
      <c r="L68" s="54">
        <v>1796.0</v>
      </c>
      <c r="M68" s="54">
        <v>1796.0</v>
      </c>
      <c r="N68" s="61">
        <v>0.6805555555555556</v>
      </c>
      <c r="O68" s="58">
        <v>0.34097222222222223</v>
      </c>
      <c r="P68" s="56">
        <v>6.8</v>
      </c>
      <c r="Q68" s="56">
        <v>7.5</v>
      </c>
      <c r="R68" s="59" t="s">
        <v>221</v>
      </c>
      <c r="S68" s="60" t="s">
        <v>147</v>
      </c>
      <c r="T68" s="60"/>
      <c r="V68" s="32"/>
      <c r="W68" s="32"/>
      <c r="X68" s="32"/>
      <c r="Y68" s="32"/>
      <c r="Z68" s="32"/>
      <c r="AA68" s="32"/>
      <c r="AB68" s="32"/>
      <c r="AC68" s="32"/>
      <c r="AD68" s="32"/>
      <c r="AE68" s="32"/>
      <c r="AF68" s="32"/>
      <c r="AG68" s="32"/>
      <c r="AH68" s="32"/>
    </row>
    <row r="69">
      <c r="A69" s="54" t="s">
        <v>13</v>
      </c>
      <c r="B69" s="55">
        <f t="shared" si="1"/>
        <v>55.79</v>
      </c>
      <c r="C69" s="54" t="str">
        <f t="shared" si="4"/>
        <v>2</v>
      </c>
      <c r="D69" s="15" t="s">
        <v>222</v>
      </c>
      <c r="E69" s="54">
        <v>4.0</v>
      </c>
      <c r="F69" s="54"/>
      <c r="G69" s="54"/>
      <c r="H69" s="54"/>
      <c r="I69" s="54"/>
      <c r="J69" s="54"/>
      <c r="K69" s="56">
        <v>31.55</v>
      </c>
      <c r="L69" s="54">
        <v>2424.0</v>
      </c>
      <c r="M69" s="54">
        <v>2424.0</v>
      </c>
      <c r="N69" s="61">
        <v>0.8125</v>
      </c>
      <c r="O69" s="58">
        <v>0.47430555555555554</v>
      </c>
      <c r="P69" s="56">
        <v>4.9</v>
      </c>
      <c r="Q69" s="56">
        <v>4.9</v>
      </c>
      <c r="R69" s="59" t="s">
        <v>223</v>
      </c>
      <c r="S69" s="60" t="s">
        <v>95</v>
      </c>
      <c r="T69" s="60"/>
      <c r="V69" s="32"/>
      <c r="W69" s="32"/>
      <c r="X69" s="32"/>
      <c r="Y69" s="32"/>
      <c r="Z69" s="32"/>
      <c r="AA69" s="32"/>
      <c r="AB69" s="32"/>
      <c r="AC69" s="32"/>
      <c r="AD69" s="32"/>
      <c r="AE69" s="32"/>
      <c r="AF69" s="32"/>
      <c r="AG69" s="32"/>
      <c r="AH69" s="32"/>
    </row>
    <row r="70">
      <c r="A70" s="54" t="s">
        <v>13</v>
      </c>
      <c r="B70" s="55">
        <f t="shared" si="1"/>
        <v>57</v>
      </c>
      <c r="C70" s="54" t="str">
        <f t="shared" si="4"/>
        <v>2</v>
      </c>
      <c r="D70" s="15" t="s">
        <v>224</v>
      </c>
      <c r="E70" s="54">
        <v>2.0</v>
      </c>
      <c r="F70" s="54"/>
      <c r="G70" s="54"/>
      <c r="H70" s="54"/>
      <c r="I70" s="54"/>
      <c r="J70" s="54"/>
      <c r="K70" s="56">
        <v>38.4</v>
      </c>
      <c r="L70" s="54">
        <v>1860.0</v>
      </c>
      <c r="M70" s="54">
        <v>1860.0</v>
      </c>
      <c r="N70" s="61">
        <v>0.8680555555555556</v>
      </c>
      <c r="O70" s="58">
        <v>0.5763888888888888</v>
      </c>
      <c r="P70" s="56">
        <v>4.1</v>
      </c>
      <c r="Q70" s="56">
        <v>4.8</v>
      </c>
      <c r="R70" s="65" t="s">
        <v>225</v>
      </c>
      <c r="S70" s="60" t="s">
        <v>226</v>
      </c>
      <c r="T70" s="60"/>
      <c r="V70" s="32"/>
      <c r="W70" s="32"/>
      <c r="X70" s="32"/>
      <c r="Y70" s="32"/>
      <c r="Z70" s="32"/>
      <c r="AA70" s="32"/>
      <c r="AB70" s="32"/>
      <c r="AC70" s="32"/>
      <c r="AD70" s="32"/>
      <c r="AE70" s="32"/>
      <c r="AF70" s="32"/>
      <c r="AG70" s="32"/>
      <c r="AH70" s="32"/>
    </row>
    <row r="71">
      <c r="A71" s="54" t="s">
        <v>13</v>
      </c>
      <c r="B71" s="55">
        <f t="shared" si="1"/>
        <v>57.05</v>
      </c>
      <c r="C71" s="54" t="str">
        <f t="shared" si="4"/>
        <v>2</v>
      </c>
      <c r="D71" s="15" t="s">
        <v>227</v>
      </c>
      <c r="E71" s="54">
        <v>1.0</v>
      </c>
      <c r="F71" s="54"/>
      <c r="G71" s="54"/>
      <c r="H71" s="54"/>
      <c r="I71" s="54"/>
      <c r="J71" s="54"/>
      <c r="K71" s="56">
        <v>33.9</v>
      </c>
      <c r="L71" s="54">
        <v>2315.0</v>
      </c>
      <c r="M71" s="54">
        <v>2315.0</v>
      </c>
      <c r="N71" s="54" t="s">
        <v>77</v>
      </c>
      <c r="O71" s="58">
        <v>0.3645833333333333</v>
      </c>
      <c r="P71" s="56">
        <v>6.5</v>
      </c>
      <c r="Q71" s="56">
        <v>7.4</v>
      </c>
      <c r="R71" s="59" t="s">
        <v>228</v>
      </c>
      <c r="S71" s="60" t="s">
        <v>175</v>
      </c>
      <c r="T71" s="60"/>
      <c r="V71" s="32"/>
      <c r="W71" s="32"/>
      <c r="X71" s="32"/>
      <c r="Y71" s="32"/>
      <c r="Z71" s="32"/>
      <c r="AA71" s="32"/>
      <c r="AB71" s="32"/>
      <c r="AC71" s="32"/>
      <c r="AD71" s="32"/>
      <c r="AE71" s="32"/>
      <c r="AF71" s="32"/>
      <c r="AG71" s="32"/>
      <c r="AH71" s="32"/>
    </row>
    <row r="72">
      <c r="A72" s="54" t="s">
        <v>13</v>
      </c>
      <c r="B72" s="55">
        <f t="shared" si="1"/>
        <v>57.48</v>
      </c>
      <c r="C72" s="54" t="str">
        <f t="shared" si="4"/>
        <v>2</v>
      </c>
      <c r="D72" s="15" t="s">
        <v>229</v>
      </c>
      <c r="E72" s="54">
        <v>2.0</v>
      </c>
      <c r="F72" s="54"/>
      <c r="G72" s="54"/>
      <c r="H72" s="54"/>
      <c r="I72" s="54"/>
      <c r="J72" s="54"/>
      <c r="K72" s="56">
        <v>30.08</v>
      </c>
      <c r="L72" s="54">
        <v>2740.0</v>
      </c>
      <c r="M72" s="54">
        <v>2740.0</v>
      </c>
      <c r="N72" s="54" t="s">
        <v>77</v>
      </c>
      <c r="O72" s="58">
        <v>0.44513888888888886</v>
      </c>
      <c r="P72" s="56">
        <v>5.4</v>
      </c>
      <c r="Q72" s="56">
        <v>5.8</v>
      </c>
      <c r="R72" s="59" t="s">
        <v>230</v>
      </c>
      <c r="S72" s="60" t="s">
        <v>147</v>
      </c>
      <c r="T72" s="60"/>
      <c r="V72" s="32"/>
      <c r="W72" s="32"/>
      <c r="X72" s="32"/>
      <c r="Y72" s="32"/>
      <c r="Z72" s="32"/>
      <c r="AA72" s="32"/>
      <c r="AB72" s="32"/>
      <c r="AC72" s="32"/>
      <c r="AD72" s="32"/>
      <c r="AE72" s="32"/>
      <c r="AF72" s="32"/>
      <c r="AG72" s="32"/>
      <c r="AH72" s="32"/>
    </row>
    <row r="73">
      <c r="A73" s="54" t="s">
        <v>13</v>
      </c>
      <c r="B73" s="55">
        <f t="shared" si="1"/>
        <v>58.34</v>
      </c>
      <c r="C73" s="54" t="str">
        <f t="shared" si="4"/>
        <v>2</v>
      </c>
      <c r="D73" s="15" t="s">
        <v>231</v>
      </c>
      <c r="E73" s="54">
        <v>3.0</v>
      </c>
      <c r="F73" s="54"/>
      <c r="G73" s="54"/>
      <c r="H73" s="54"/>
      <c r="I73" s="54"/>
      <c r="J73" s="54"/>
      <c r="K73" s="56">
        <v>37.99</v>
      </c>
      <c r="L73" s="54">
        <v>2035.0</v>
      </c>
      <c r="M73" s="54">
        <v>2035.0</v>
      </c>
      <c r="N73" s="64">
        <v>1.125</v>
      </c>
      <c r="O73" s="58">
        <v>0.6076388888888888</v>
      </c>
      <c r="P73" s="56">
        <v>4.0</v>
      </c>
      <c r="Q73" s="56">
        <v>4.2</v>
      </c>
      <c r="R73" s="59" t="s">
        <v>232</v>
      </c>
      <c r="S73" s="60" t="s">
        <v>147</v>
      </c>
      <c r="T73" s="60"/>
      <c r="V73" s="32"/>
      <c r="W73" s="32"/>
      <c r="X73" s="32"/>
      <c r="Y73" s="32"/>
      <c r="Z73" s="32"/>
      <c r="AA73" s="32"/>
      <c r="AB73" s="32"/>
      <c r="AC73" s="32"/>
      <c r="AD73" s="32"/>
      <c r="AE73" s="32"/>
      <c r="AF73" s="32"/>
      <c r="AG73" s="32"/>
      <c r="AH73" s="32"/>
    </row>
    <row r="74">
      <c r="A74" s="54" t="s">
        <v>13</v>
      </c>
      <c r="B74" s="55">
        <f t="shared" si="1"/>
        <v>57.74</v>
      </c>
      <c r="C74" s="54" t="str">
        <f t="shared" si="4"/>
        <v>2</v>
      </c>
      <c r="D74" s="15" t="s">
        <v>233</v>
      </c>
      <c r="E74" s="54">
        <v>1.0</v>
      </c>
      <c r="F74" s="54"/>
      <c r="G74" s="54"/>
      <c r="H74" s="54"/>
      <c r="I74" s="54"/>
      <c r="J74" s="54"/>
      <c r="K74" s="56">
        <v>32.31</v>
      </c>
      <c r="L74" s="54">
        <v>2543.0</v>
      </c>
      <c r="M74" s="54">
        <v>2543.0</v>
      </c>
      <c r="N74" s="61">
        <v>0.8506944444444444</v>
      </c>
      <c r="O74" s="58">
        <v>0.48819444444444443</v>
      </c>
      <c r="P74" s="56">
        <v>4.9</v>
      </c>
      <c r="Q74" s="56">
        <v>5.2</v>
      </c>
      <c r="R74" s="59" t="s">
        <v>234</v>
      </c>
      <c r="S74" s="60" t="s">
        <v>104</v>
      </c>
      <c r="T74" s="60"/>
      <c r="V74" s="32"/>
      <c r="W74" s="32"/>
      <c r="X74" s="32"/>
      <c r="Y74" s="32"/>
      <c r="Z74" s="32"/>
      <c r="AA74" s="32"/>
      <c r="AB74" s="32"/>
      <c r="AC74" s="32"/>
      <c r="AD74" s="32"/>
      <c r="AE74" s="32"/>
      <c r="AF74" s="32"/>
      <c r="AG74" s="32"/>
      <c r="AH74" s="32"/>
    </row>
    <row r="75">
      <c r="A75" s="54" t="s">
        <v>13</v>
      </c>
      <c r="B75" s="55">
        <f t="shared" si="1"/>
        <v>58.84</v>
      </c>
      <c r="C75" s="54" t="str">
        <f t="shared" si="4"/>
        <v>2</v>
      </c>
      <c r="D75" s="15" t="s">
        <v>235</v>
      </c>
      <c r="E75" s="54">
        <v>2.0</v>
      </c>
      <c r="F75" s="54"/>
      <c r="G75" s="54"/>
      <c r="H75" s="54"/>
      <c r="I75" s="54"/>
      <c r="J75" s="54"/>
      <c r="K75" s="56">
        <v>29.36</v>
      </c>
      <c r="L75" s="54">
        <v>2948.0</v>
      </c>
      <c r="M75" s="54">
        <v>2948.0</v>
      </c>
      <c r="N75" s="64">
        <v>1.1215277777777777</v>
      </c>
      <c r="O75" s="58">
        <v>0.5333333333333333</v>
      </c>
      <c r="P75" s="56">
        <v>4.6</v>
      </c>
      <c r="Q75" s="56">
        <v>5.2</v>
      </c>
      <c r="R75" s="59" t="s">
        <v>236</v>
      </c>
      <c r="S75" s="60" t="s">
        <v>171</v>
      </c>
      <c r="T75" s="60"/>
      <c r="V75" s="32"/>
      <c r="W75" s="32"/>
      <c r="X75" s="32"/>
      <c r="Y75" s="32"/>
      <c r="Z75" s="32"/>
      <c r="AA75" s="32"/>
      <c r="AB75" s="32"/>
      <c r="AC75" s="32"/>
      <c r="AD75" s="32"/>
      <c r="AE75" s="32"/>
      <c r="AF75" s="32"/>
      <c r="AG75" s="32"/>
      <c r="AH75" s="32"/>
    </row>
    <row r="76">
      <c r="A76" s="54" t="s">
        <v>13</v>
      </c>
      <c r="B76" s="55">
        <f t="shared" si="1"/>
        <v>59.23</v>
      </c>
      <c r="C76" s="54" t="str">
        <f t="shared" si="4"/>
        <v>2</v>
      </c>
      <c r="D76" s="15" t="s">
        <v>237</v>
      </c>
      <c r="E76" s="54">
        <v>2.0</v>
      </c>
      <c r="F76" s="54"/>
      <c r="G76" s="54"/>
      <c r="H76" s="54"/>
      <c r="I76" s="54"/>
      <c r="J76" s="54"/>
      <c r="K76" s="56">
        <v>30.1</v>
      </c>
      <c r="L76" s="54">
        <v>2913.0</v>
      </c>
      <c r="M76" s="54">
        <v>2913.0</v>
      </c>
      <c r="N76" s="66">
        <v>1.1388888888888888</v>
      </c>
      <c r="O76" s="54" t="s">
        <v>77</v>
      </c>
      <c r="P76" s="56" t="s">
        <v>77</v>
      </c>
      <c r="Q76" s="56" t="s">
        <v>77</v>
      </c>
      <c r="R76" s="54" t="s">
        <v>77</v>
      </c>
      <c r="S76" s="60" t="s">
        <v>238</v>
      </c>
      <c r="T76" s="60"/>
      <c r="V76" s="32"/>
      <c r="W76" s="32"/>
      <c r="X76" s="32"/>
      <c r="Y76" s="32"/>
      <c r="Z76" s="32"/>
      <c r="AA76" s="32"/>
      <c r="AB76" s="32"/>
      <c r="AC76" s="32"/>
      <c r="AD76" s="32"/>
      <c r="AE76" s="32"/>
      <c r="AF76" s="32"/>
      <c r="AG76" s="32"/>
      <c r="AH76" s="32"/>
    </row>
    <row r="77">
      <c r="A77" s="54" t="s">
        <v>13</v>
      </c>
      <c r="B77" s="55">
        <f t="shared" si="1"/>
        <v>59.99</v>
      </c>
      <c r="C77" s="54" t="str">
        <f t="shared" si="4"/>
        <v>2</v>
      </c>
      <c r="D77" s="15" t="s">
        <v>239</v>
      </c>
      <c r="E77" s="54">
        <v>4.0</v>
      </c>
      <c r="F77" s="54"/>
      <c r="G77" s="54"/>
      <c r="H77" s="54"/>
      <c r="I77" s="54"/>
      <c r="J77" s="54"/>
      <c r="K77" s="56">
        <v>32.8</v>
      </c>
      <c r="L77" s="54">
        <v>2719.0</v>
      </c>
      <c r="M77" s="54">
        <v>2719.0</v>
      </c>
      <c r="N77" s="61">
        <v>0.8784722222222222</v>
      </c>
      <c r="O77" s="58">
        <v>0.8784722222222222</v>
      </c>
      <c r="P77" s="56">
        <v>1.0</v>
      </c>
      <c r="Q77" s="56">
        <v>1.0</v>
      </c>
      <c r="R77" s="54" t="s">
        <v>77</v>
      </c>
      <c r="S77" s="60" t="s">
        <v>95</v>
      </c>
      <c r="T77" s="60"/>
      <c r="V77" s="32"/>
      <c r="W77" s="32"/>
      <c r="X77" s="32"/>
      <c r="Y77" s="32"/>
      <c r="Z77" s="32"/>
      <c r="AA77" s="32"/>
      <c r="AB77" s="32"/>
      <c r="AC77" s="32"/>
      <c r="AD77" s="32"/>
      <c r="AE77" s="32"/>
      <c r="AF77" s="32"/>
      <c r="AG77" s="32"/>
      <c r="AH77" s="32"/>
    </row>
    <row r="78">
      <c r="A78" s="54" t="s">
        <v>13</v>
      </c>
      <c r="B78" s="55">
        <f t="shared" si="1"/>
        <v>60.12</v>
      </c>
      <c r="C78" s="54" t="str">
        <f t="shared" si="4"/>
        <v>2</v>
      </c>
      <c r="D78" s="15" t="s">
        <v>240</v>
      </c>
      <c r="E78" s="54">
        <v>0.0</v>
      </c>
      <c r="F78" s="54"/>
      <c r="G78" s="54"/>
      <c r="H78" s="54"/>
      <c r="I78" s="54"/>
      <c r="J78" s="54"/>
      <c r="K78" s="56">
        <v>33.3</v>
      </c>
      <c r="L78" s="54">
        <v>2682.0</v>
      </c>
      <c r="M78" s="54">
        <v>2682.0</v>
      </c>
      <c r="N78" s="61">
        <v>0.9756944444444444</v>
      </c>
      <c r="O78" s="58">
        <v>0.6</v>
      </c>
      <c r="P78" s="56">
        <v>4.2</v>
      </c>
      <c r="Q78" s="56">
        <v>4.5</v>
      </c>
      <c r="R78" s="59" t="s">
        <v>241</v>
      </c>
      <c r="S78" s="60" t="s">
        <v>147</v>
      </c>
      <c r="T78" s="60"/>
      <c r="V78" s="32"/>
      <c r="W78" s="32"/>
      <c r="X78" s="32"/>
      <c r="Y78" s="32"/>
      <c r="Z78" s="32"/>
      <c r="AA78" s="32"/>
      <c r="AB78" s="32"/>
      <c r="AC78" s="32"/>
      <c r="AD78" s="32"/>
      <c r="AE78" s="32"/>
      <c r="AF78" s="32"/>
      <c r="AG78" s="32"/>
      <c r="AH78" s="32"/>
    </row>
    <row r="79">
      <c r="A79" s="54" t="s">
        <v>13</v>
      </c>
      <c r="B79" s="55">
        <f t="shared" si="1"/>
        <v>59.6</v>
      </c>
      <c r="C79" s="54" t="str">
        <f t="shared" si="4"/>
        <v>2</v>
      </c>
      <c r="D79" s="15" t="s">
        <v>242</v>
      </c>
      <c r="E79" s="54">
        <v>1.0</v>
      </c>
      <c r="F79" s="54"/>
      <c r="G79" s="54"/>
      <c r="H79" s="54"/>
      <c r="I79" s="54"/>
      <c r="J79" s="54"/>
      <c r="K79" s="56">
        <v>27.2</v>
      </c>
      <c r="L79" s="54">
        <v>3240.0</v>
      </c>
      <c r="M79" s="54">
        <v>2406.0</v>
      </c>
      <c r="N79" s="54" t="s">
        <v>77</v>
      </c>
      <c r="O79" s="58">
        <v>0.6770833333333334</v>
      </c>
      <c r="P79" s="56" t="s">
        <v>77</v>
      </c>
      <c r="Q79" s="56" t="s">
        <v>77</v>
      </c>
      <c r="R79" s="59" t="s">
        <v>243</v>
      </c>
      <c r="S79" s="60" t="s">
        <v>244</v>
      </c>
      <c r="T79" s="60"/>
      <c r="V79" s="32"/>
      <c r="W79" s="32"/>
      <c r="X79" s="32"/>
      <c r="Y79" s="32"/>
      <c r="Z79" s="32"/>
      <c r="AA79" s="32"/>
      <c r="AB79" s="32"/>
      <c r="AC79" s="32"/>
      <c r="AD79" s="32"/>
      <c r="AE79" s="32"/>
      <c r="AF79" s="32"/>
      <c r="AG79" s="32"/>
      <c r="AH79" s="32"/>
    </row>
    <row r="80">
      <c r="A80" s="54" t="s">
        <v>13</v>
      </c>
      <c r="B80" s="55">
        <f t="shared" si="1"/>
        <v>60.38</v>
      </c>
      <c r="C80" s="54" t="str">
        <f t="shared" si="4"/>
        <v>2</v>
      </c>
      <c r="D80" s="15" t="s">
        <v>245</v>
      </c>
      <c r="E80" s="54">
        <v>2.0</v>
      </c>
      <c r="F80" s="54"/>
      <c r="G80" s="54"/>
      <c r="H80" s="54"/>
      <c r="I80" s="54"/>
      <c r="J80" s="54"/>
      <c r="K80" s="56">
        <v>33.4</v>
      </c>
      <c r="L80" s="54">
        <v>2698.0</v>
      </c>
      <c r="M80" s="54">
        <v>3402.0</v>
      </c>
      <c r="N80" s="67">
        <v>1.1527777777777777</v>
      </c>
      <c r="O80" s="61">
        <v>0.6805555555555556</v>
      </c>
      <c r="P80" s="56">
        <v>4.2</v>
      </c>
      <c r="Q80" s="56">
        <v>4.2</v>
      </c>
      <c r="R80" s="65" t="s">
        <v>246</v>
      </c>
      <c r="S80" s="60" t="s">
        <v>104</v>
      </c>
      <c r="T80" s="60"/>
      <c r="V80" s="32"/>
      <c r="W80" s="32"/>
      <c r="X80" s="32"/>
      <c r="Y80" s="32"/>
      <c r="Z80" s="32"/>
      <c r="AA80" s="32"/>
      <c r="AB80" s="32"/>
      <c r="AC80" s="32"/>
      <c r="AD80" s="32"/>
      <c r="AE80" s="32"/>
      <c r="AF80" s="32"/>
      <c r="AG80" s="32"/>
      <c r="AH80" s="32"/>
    </row>
    <row r="81">
      <c r="A81" s="54" t="s">
        <v>13</v>
      </c>
      <c r="B81" s="55">
        <f t="shared" si="1"/>
        <v>61.1</v>
      </c>
      <c r="C81" s="54" t="str">
        <f t="shared" si="4"/>
        <v>2</v>
      </c>
      <c r="D81" s="15" t="s">
        <v>247</v>
      </c>
      <c r="E81" s="54">
        <v>1.0</v>
      </c>
      <c r="F81" s="54"/>
      <c r="G81" s="54"/>
      <c r="H81" s="54"/>
      <c r="I81" s="54"/>
      <c r="J81" s="54"/>
      <c r="K81" s="56">
        <v>27.23</v>
      </c>
      <c r="L81" s="54">
        <v>3387.0</v>
      </c>
      <c r="M81" s="54">
        <v>3387.0</v>
      </c>
      <c r="N81" s="54" t="s">
        <v>77</v>
      </c>
      <c r="O81" s="58">
        <v>0.6666666666666666</v>
      </c>
      <c r="P81" s="56">
        <v>3.8</v>
      </c>
      <c r="Q81" s="56">
        <v>4.0</v>
      </c>
      <c r="R81" s="59" t="s">
        <v>248</v>
      </c>
      <c r="S81" s="60" t="s">
        <v>100</v>
      </c>
      <c r="T81" s="60"/>
      <c r="V81" s="32"/>
      <c r="W81" s="32"/>
      <c r="X81" s="32"/>
      <c r="Y81" s="32"/>
      <c r="Z81" s="32"/>
      <c r="AA81" s="32"/>
      <c r="AB81" s="32"/>
      <c r="AC81" s="32"/>
      <c r="AD81" s="32"/>
      <c r="AE81" s="32"/>
      <c r="AF81" s="32"/>
      <c r="AG81" s="32"/>
      <c r="AH81" s="32"/>
    </row>
    <row r="82">
      <c r="A82" s="54" t="s">
        <v>13</v>
      </c>
      <c r="B82" s="55">
        <f t="shared" si="1"/>
        <v>61.57</v>
      </c>
      <c r="C82" s="54" t="str">
        <f t="shared" si="4"/>
        <v>2</v>
      </c>
      <c r="D82" s="15" t="s">
        <v>249</v>
      </c>
      <c r="E82" s="54">
        <v>2.0</v>
      </c>
      <c r="F82" s="54"/>
      <c r="G82" s="54"/>
      <c r="H82" s="54"/>
      <c r="I82" s="54"/>
      <c r="J82" s="54"/>
      <c r="K82" s="56">
        <v>35.8</v>
      </c>
      <c r="L82" s="54">
        <v>2577.0</v>
      </c>
      <c r="M82" s="54">
        <v>2979.0</v>
      </c>
      <c r="N82" s="54" t="s">
        <v>77</v>
      </c>
      <c r="O82" s="54" t="s">
        <v>77</v>
      </c>
      <c r="P82" s="56" t="s">
        <v>77</v>
      </c>
      <c r="Q82" s="56" t="s">
        <v>77</v>
      </c>
      <c r="R82" s="59" t="s">
        <v>250</v>
      </c>
      <c r="S82" s="60" t="s">
        <v>175</v>
      </c>
      <c r="T82" s="60"/>
      <c r="V82" s="32"/>
      <c r="W82" s="32"/>
      <c r="X82" s="32"/>
      <c r="Y82" s="32"/>
      <c r="Z82" s="32"/>
      <c r="AA82" s="32"/>
      <c r="AB82" s="32"/>
      <c r="AC82" s="32"/>
      <c r="AD82" s="32"/>
      <c r="AE82" s="32"/>
      <c r="AF82" s="32"/>
      <c r="AG82" s="32"/>
      <c r="AH82" s="32"/>
    </row>
    <row r="83">
      <c r="A83" s="54" t="s">
        <v>13</v>
      </c>
      <c r="B83" s="55">
        <f t="shared" si="1"/>
        <v>62.11</v>
      </c>
      <c r="C83" s="54" t="str">
        <f t="shared" si="4"/>
        <v>2</v>
      </c>
      <c r="D83" s="15" t="s">
        <v>251</v>
      </c>
      <c r="E83" s="54">
        <v>1.0</v>
      </c>
      <c r="F83" s="54"/>
      <c r="G83" s="54"/>
      <c r="H83" s="54"/>
      <c r="I83" s="54"/>
      <c r="J83" s="54"/>
      <c r="K83" s="56">
        <v>31.1</v>
      </c>
      <c r="L83" s="54">
        <v>3101.0</v>
      </c>
      <c r="M83" s="54">
        <v>3101.0</v>
      </c>
      <c r="N83" s="54" t="s">
        <v>77</v>
      </c>
      <c r="O83" s="58">
        <v>0.7083333333333334</v>
      </c>
      <c r="P83" s="56">
        <v>3.7</v>
      </c>
      <c r="Q83" s="56">
        <v>4.2</v>
      </c>
      <c r="R83" s="59" t="s">
        <v>252</v>
      </c>
      <c r="S83" s="60" t="s">
        <v>90</v>
      </c>
      <c r="T83" s="60"/>
      <c r="V83" s="32"/>
      <c r="W83" s="32"/>
      <c r="X83" s="32"/>
      <c r="Y83" s="32"/>
      <c r="Z83" s="32"/>
      <c r="AA83" s="32"/>
      <c r="AB83" s="32"/>
      <c r="AC83" s="32"/>
      <c r="AD83" s="32"/>
      <c r="AE83" s="32"/>
      <c r="AF83" s="32"/>
      <c r="AG83" s="32"/>
      <c r="AH83" s="32"/>
    </row>
    <row r="84">
      <c r="A84" s="54" t="s">
        <v>13</v>
      </c>
      <c r="B84" s="55">
        <f t="shared" si="1"/>
        <v>62.43</v>
      </c>
      <c r="C84" s="54" t="str">
        <f t="shared" si="4"/>
        <v>2</v>
      </c>
      <c r="D84" s="15" t="s">
        <v>253</v>
      </c>
      <c r="E84" s="54">
        <v>1.0</v>
      </c>
      <c r="F84" s="54"/>
      <c r="G84" s="54"/>
      <c r="H84" s="54"/>
      <c r="I84" s="54"/>
      <c r="J84" s="54"/>
      <c r="K84" s="56">
        <v>34.3</v>
      </c>
      <c r="L84" s="54">
        <v>2813.0</v>
      </c>
      <c r="M84" s="54">
        <v>2813.0</v>
      </c>
      <c r="N84" s="54" t="s">
        <v>77</v>
      </c>
      <c r="O84" s="58">
        <v>0.65625</v>
      </c>
      <c r="P84" s="56">
        <v>4.0</v>
      </c>
      <c r="Q84" s="56">
        <v>4.1</v>
      </c>
      <c r="R84" s="59" t="s">
        <v>254</v>
      </c>
      <c r="S84" s="60" t="s">
        <v>147</v>
      </c>
      <c r="T84" s="60"/>
      <c r="V84" s="32"/>
      <c r="W84" s="32"/>
      <c r="X84" s="32"/>
      <c r="Y84" s="32"/>
      <c r="Z84" s="32"/>
      <c r="AA84" s="32"/>
      <c r="AB84" s="32"/>
      <c r="AC84" s="32"/>
      <c r="AD84" s="32"/>
      <c r="AE84" s="32"/>
      <c r="AF84" s="32"/>
      <c r="AG84" s="32"/>
      <c r="AH84" s="32"/>
    </row>
    <row r="85">
      <c r="A85" s="54" t="s">
        <v>13</v>
      </c>
      <c r="B85" s="55">
        <f t="shared" si="1"/>
        <v>62.01</v>
      </c>
      <c r="C85" s="54" t="str">
        <f t="shared" si="4"/>
        <v>2</v>
      </c>
      <c r="D85" s="15" t="s">
        <v>255</v>
      </c>
      <c r="E85" s="54">
        <v>2.0</v>
      </c>
      <c r="F85" s="54"/>
      <c r="G85" s="54"/>
      <c r="H85" s="54"/>
      <c r="I85" s="54"/>
      <c r="J85" s="54"/>
      <c r="K85" s="56">
        <v>31.88</v>
      </c>
      <c r="L85" s="54">
        <v>3013.0</v>
      </c>
      <c r="M85" s="54">
        <v>3013.0</v>
      </c>
      <c r="N85" s="66">
        <v>1.0729166666666667</v>
      </c>
      <c r="O85" s="58">
        <v>0.6486111111111111</v>
      </c>
      <c r="P85" s="56">
        <v>4.0</v>
      </c>
      <c r="Q85" s="56">
        <v>4.3</v>
      </c>
      <c r="R85" s="59" t="s">
        <v>256</v>
      </c>
      <c r="S85" s="60" t="s">
        <v>171</v>
      </c>
      <c r="T85" s="60" t="s">
        <v>91</v>
      </c>
      <c r="V85" s="32"/>
      <c r="W85" s="32"/>
      <c r="X85" s="32"/>
      <c r="Y85" s="32"/>
      <c r="Z85" s="32"/>
      <c r="AA85" s="32"/>
      <c r="AB85" s="32"/>
      <c r="AC85" s="32"/>
      <c r="AD85" s="32"/>
      <c r="AE85" s="32"/>
      <c r="AF85" s="32"/>
      <c r="AG85" s="32"/>
      <c r="AH85" s="32"/>
    </row>
    <row r="86">
      <c r="A86" s="54" t="s">
        <v>13</v>
      </c>
      <c r="B86" s="55">
        <f t="shared" si="1"/>
        <v>62.61</v>
      </c>
      <c r="C86" s="54" t="str">
        <f t="shared" si="4"/>
        <v>2</v>
      </c>
      <c r="D86" s="15" t="s">
        <v>257</v>
      </c>
      <c r="E86" s="54">
        <v>1.0</v>
      </c>
      <c r="F86" s="54"/>
      <c r="G86" s="54"/>
      <c r="H86" s="54"/>
      <c r="I86" s="54"/>
      <c r="J86" s="54"/>
      <c r="K86" s="56">
        <v>30.98</v>
      </c>
      <c r="L86" s="54">
        <v>3163.0</v>
      </c>
      <c r="M86" s="54">
        <v>3163.0</v>
      </c>
      <c r="N86" s="66">
        <v>1.1180555555555556</v>
      </c>
      <c r="O86" s="58">
        <v>0.5145833333333333</v>
      </c>
      <c r="P86" s="56">
        <v>5.1</v>
      </c>
      <c r="Q86" s="56">
        <v>5.3</v>
      </c>
      <c r="R86" s="59" t="s">
        <v>258</v>
      </c>
      <c r="S86" s="60" t="s">
        <v>82</v>
      </c>
      <c r="T86" s="60" t="s">
        <v>91</v>
      </c>
      <c r="V86" s="32"/>
      <c r="W86" s="32"/>
      <c r="X86" s="32"/>
      <c r="Y86" s="32"/>
      <c r="Z86" s="32"/>
      <c r="AA86" s="32"/>
      <c r="AB86" s="32"/>
      <c r="AC86" s="32"/>
      <c r="AD86" s="32"/>
      <c r="AE86" s="32"/>
      <c r="AF86" s="32"/>
      <c r="AG86" s="32"/>
      <c r="AH86" s="32"/>
    </row>
    <row r="87">
      <c r="A87" s="54" t="s">
        <v>13</v>
      </c>
      <c r="B87" s="55">
        <f t="shared" si="1"/>
        <v>63.39</v>
      </c>
      <c r="C87" s="54" t="str">
        <f t="shared" si="4"/>
        <v>2</v>
      </c>
      <c r="D87" s="15" t="s">
        <v>259</v>
      </c>
      <c r="E87" s="54">
        <v>1.0</v>
      </c>
      <c r="F87" s="54"/>
      <c r="G87" s="54"/>
      <c r="H87" s="54"/>
      <c r="I87" s="54"/>
      <c r="J87" s="54"/>
      <c r="K87" s="56">
        <v>35.0</v>
      </c>
      <c r="L87" s="54">
        <v>2839.0</v>
      </c>
      <c r="M87" s="54">
        <v>2839.0</v>
      </c>
      <c r="N87" s="66">
        <v>0.9861111111111112</v>
      </c>
      <c r="O87" s="54" t="s">
        <v>77</v>
      </c>
      <c r="P87" s="56" t="s">
        <v>77</v>
      </c>
      <c r="Q87" s="56" t="s">
        <v>77</v>
      </c>
      <c r="R87" s="54" t="s">
        <v>77</v>
      </c>
      <c r="S87" s="60" t="s">
        <v>95</v>
      </c>
      <c r="T87" s="60"/>
      <c r="V87" s="32"/>
      <c r="W87" s="32"/>
      <c r="X87" s="32"/>
      <c r="Y87" s="32"/>
      <c r="Z87" s="32"/>
      <c r="AA87" s="32"/>
      <c r="AB87" s="32"/>
      <c r="AC87" s="32"/>
      <c r="AD87" s="32"/>
      <c r="AE87" s="32"/>
      <c r="AF87" s="32"/>
      <c r="AG87" s="32"/>
      <c r="AH87" s="32"/>
    </row>
    <row r="88">
      <c r="A88" s="54" t="s">
        <v>13</v>
      </c>
      <c r="B88" s="55">
        <f t="shared" si="1"/>
        <v>63.75</v>
      </c>
      <c r="C88" s="54" t="str">
        <f t="shared" si="4"/>
        <v>2</v>
      </c>
      <c r="D88" s="15" t="s">
        <v>260</v>
      </c>
      <c r="E88" s="54">
        <v>3.0</v>
      </c>
      <c r="F88" s="54"/>
      <c r="G88" s="54"/>
      <c r="H88" s="54"/>
      <c r="I88" s="54"/>
      <c r="J88" s="54"/>
      <c r="K88" s="56">
        <v>39.9</v>
      </c>
      <c r="L88" s="54">
        <v>2385.0</v>
      </c>
      <c r="M88" s="54">
        <v>2385.0</v>
      </c>
      <c r="N88" s="66">
        <v>1.3055555555555556</v>
      </c>
      <c r="O88" s="58">
        <v>0.7534722222222222</v>
      </c>
      <c r="P88" s="56">
        <v>3.5</v>
      </c>
      <c r="Q88" s="56">
        <v>3.5</v>
      </c>
      <c r="R88" s="59" t="s">
        <v>261</v>
      </c>
      <c r="S88" s="60" t="s">
        <v>147</v>
      </c>
      <c r="T88" s="60"/>
      <c r="V88" s="32"/>
      <c r="W88" s="32"/>
      <c r="X88" s="32"/>
      <c r="Y88" s="32"/>
      <c r="Z88" s="32"/>
      <c r="AA88" s="32"/>
      <c r="AB88" s="32"/>
      <c r="AC88" s="32"/>
      <c r="AD88" s="32"/>
      <c r="AE88" s="32"/>
      <c r="AF88" s="32"/>
      <c r="AG88" s="32"/>
      <c r="AH88" s="32"/>
    </row>
    <row r="89">
      <c r="A89" s="54" t="s">
        <v>13</v>
      </c>
      <c r="B89" s="55">
        <f t="shared" si="1"/>
        <v>64.39</v>
      </c>
      <c r="C89" s="54" t="str">
        <f t="shared" si="4"/>
        <v>2</v>
      </c>
      <c r="D89" s="15" t="s">
        <v>262</v>
      </c>
      <c r="E89" s="54">
        <v>2.0</v>
      </c>
      <c r="F89" s="54"/>
      <c r="G89" s="54"/>
      <c r="H89" s="54"/>
      <c r="I89" s="54"/>
      <c r="J89" s="54"/>
      <c r="K89" s="56">
        <v>51.4</v>
      </c>
      <c r="L89" s="54">
        <v>1299.0</v>
      </c>
      <c r="M89" s="54">
        <v>1299.0</v>
      </c>
      <c r="N89" s="54" t="s">
        <v>77</v>
      </c>
      <c r="O89" s="58">
        <v>0.65625</v>
      </c>
      <c r="P89" s="56">
        <v>4.1</v>
      </c>
      <c r="Q89" s="56">
        <v>4.1</v>
      </c>
      <c r="R89" s="59" t="s">
        <v>263</v>
      </c>
      <c r="S89" s="60" t="s">
        <v>158</v>
      </c>
      <c r="T89" s="60"/>
      <c r="V89" s="32"/>
      <c r="W89" s="32"/>
      <c r="X89" s="32"/>
      <c r="Y89" s="32"/>
      <c r="Z89" s="32"/>
      <c r="AA89" s="32"/>
      <c r="AB89" s="32"/>
      <c r="AC89" s="32"/>
      <c r="AD89" s="32"/>
      <c r="AE89" s="32"/>
      <c r="AF89" s="32"/>
      <c r="AG89" s="32"/>
      <c r="AH89" s="32"/>
    </row>
    <row r="90">
      <c r="A90" s="54" t="s">
        <v>13</v>
      </c>
      <c r="B90" s="55">
        <f t="shared" si="1"/>
        <v>64.76</v>
      </c>
      <c r="C90" s="54" t="str">
        <f t="shared" si="4"/>
        <v>2</v>
      </c>
      <c r="D90" s="15" t="s">
        <v>264</v>
      </c>
      <c r="E90" s="54">
        <v>2.0</v>
      </c>
      <c r="F90" s="54"/>
      <c r="G90" s="54"/>
      <c r="H90" s="54"/>
      <c r="I90" s="54"/>
      <c r="J90" s="54"/>
      <c r="K90" s="56">
        <v>31.6</v>
      </c>
      <c r="L90" s="54">
        <v>3316.0</v>
      </c>
      <c r="M90" s="54">
        <v>3316.0</v>
      </c>
      <c r="N90" s="64">
        <v>1.0833333333333333</v>
      </c>
      <c r="O90" s="58">
        <v>0.6618055555555555</v>
      </c>
      <c r="P90" s="56">
        <v>4.1</v>
      </c>
      <c r="Q90" s="56">
        <v>4.1</v>
      </c>
      <c r="R90" s="59" t="s">
        <v>265</v>
      </c>
      <c r="S90" s="60" t="s">
        <v>171</v>
      </c>
      <c r="T90" s="60"/>
      <c r="V90" s="32"/>
      <c r="W90" s="32"/>
      <c r="X90" s="32"/>
      <c r="Y90" s="32"/>
      <c r="Z90" s="32"/>
      <c r="AA90" s="32"/>
      <c r="AB90" s="32"/>
      <c r="AC90" s="32"/>
      <c r="AD90" s="32"/>
      <c r="AE90" s="32"/>
      <c r="AF90" s="32"/>
      <c r="AG90" s="32"/>
      <c r="AH90" s="32"/>
    </row>
    <row r="91">
      <c r="A91" s="54" t="s">
        <v>13</v>
      </c>
      <c r="B91" s="55">
        <f t="shared" si="1"/>
        <v>64.54</v>
      </c>
      <c r="C91" s="54" t="str">
        <f t="shared" si="4"/>
        <v>2</v>
      </c>
      <c r="D91" s="15" t="s">
        <v>266</v>
      </c>
      <c r="E91" s="54">
        <v>1.0</v>
      </c>
      <c r="F91" s="54"/>
      <c r="G91" s="54"/>
      <c r="H91" s="54"/>
      <c r="I91" s="54"/>
      <c r="J91" s="54"/>
      <c r="K91" s="56">
        <v>35.8</v>
      </c>
      <c r="L91" s="54">
        <v>2874.0</v>
      </c>
      <c r="M91" s="54">
        <v>2874.0</v>
      </c>
      <c r="N91" s="54" t="s">
        <v>77</v>
      </c>
      <c r="O91" s="58">
        <v>0.6041666666666666</v>
      </c>
      <c r="P91" s="56">
        <v>4.5</v>
      </c>
      <c r="Q91" s="56">
        <v>4.9</v>
      </c>
      <c r="R91" s="59" t="s">
        <v>267</v>
      </c>
      <c r="S91" s="60" t="s">
        <v>90</v>
      </c>
      <c r="T91" s="60"/>
      <c r="V91" s="32"/>
      <c r="W91" s="32"/>
      <c r="X91" s="32"/>
      <c r="Y91" s="32"/>
      <c r="Z91" s="32"/>
      <c r="AA91" s="32"/>
      <c r="AB91" s="32"/>
      <c r="AC91" s="32"/>
      <c r="AD91" s="32"/>
      <c r="AE91" s="32"/>
      <c r="AF91" s="32"/>
      <c r="AG91" s="32"/>
      <c r="AH91" s="32"/>
    </row>
    <row r="92">
      <c r="A92" s="54" t="s">
        <v>13</v>
      </c>
      <c r="B92" s="55">
        <f t="shared" si="1"/>
        <v>64.77</v>
      </c>
      <c r="C92" s="54" t="str">
        <f t="shared" si="4"/>
        <v>2</v>
      </c>
      <c r="D92" s="15" t="s">
        <v>268</v>
      </c>
      <c r="E92" s="54">
        <v>1.0</v>
      </c>
      <c r="F92" s="54"/>
      <c r="G92" s="54"/>
      <c r="H92" s="54"/>
      <c r="I92" s="54"/>
      <c r="J92" s="54"/>
      <c r="K92" s="56">
        <v>32.5</v>
      </c>
      <c r="L92" s="54">
        <v>3227.0</v>
      </c>
      <c r="M92" s="54">
        <v>3227.0</v>
      </c>
      <c r="N92" s="54" t="s">
        <v>77</v>
      </c>
      <c r="O92" s="58">
        <v>0.7125</v>
      </c>
      <c r="P92" s="56" t="s">
        <v>77</v>
      </c>
      <c r="Q92" s="56" t="s">
        <v>77</v>
      </c>
      <c r="R92" s="62" t="s">
        <v>269</v>
      </c>
      <c r="S92" s="60" t="s">
        <v>171</v>
      </c>
      <c r="T92" s="60"/>
      <c r="V92" s="32"/>
      <c r="W92" s="32"/>
      <c r="X92" s="32"/>
      <c r="Y92" s="32"/>
      <c r="Z92" s="32"/>
      <c r="AA92" s="32"/>
      <c r="AB92" s="32"/>
      <c r="AC92" s="32"/>
      <c r="AD92" s="32"/>
      <c r="AE92" s="32"/>
      <c r="AF92" s="32"/>
      <c r="AG92" s="32"/>
      <c r="AH92" s="32"/>
    </row>
    <row r="93">
      <c r="A93" s="54" t="s">
        <v>13</v>
      </c>
      <c r="B93" s="55">
        <f t="shared" si="1"/>
        <v>66.08</v>
      </c>
      <c r="C93" s="54" t="str">
        <f t="shared" si="4"/>
        <v>2</v>
      </c>
      <c r="D93" s="15" t="s">
        <v>270</v>
      </c>
      <c r="E93" s="54">
        <v>1.0</v>
      </c>
      <c r="F93" s="54"/>
      <c r="G93" s="54"/>
      <c r="H93" s="54"/>
      <c r="I93" s="54"/>
      <c r="J93" s="54"/>
      <c r="K93" s="56">
        <v>44.7</v>
      </c>
      <c r="L93" s="54">
        <v>2138.0</v>
      </c>
      <c r="M93" s="54">
        <v>2138.0</v>
      </c>
      <c r="N93" s="57">
        <v>0.9201388888888888</v>
      </c>
      <c r="O93" s="58">
        <v>0.55625</v>
      </c>
      <c r="P93" s="56">
        <v>4.9</v>
      </c>
      <c r="Q93" s="56">
        <v>5.2</v>
      </c>
      <c r="R93" s="59" t="s">
        <v>271</v>
      </c>
      <c r="S93" s="60" t="s">
        <v>147</v>
      </c>
      <c r="T93" s="60" t="s">
        <v>91</v>
      </c>
      <c r="V93" s="32"/>
      <c r="W93" s="32"/>
      <c r="X93" s="32"/>
      <c r="Y93" s="32"/>
      <c r="Z93" s="32"/>
      <c r="AA93" s="32"/>
      <c r="AB93" s="32"/>
      <c r="AC93" s="32"/>
      <c r="AD93" s="32"/>
      <c r="AE93" s="32"/>
      <c r="AF93" s="32"/>
      <c r="AG93" s="32"/>
      <c r="AH93" s="32"/>
    </row>
    <row r="94">
      <c r="A94" s="54" t="s">
        <v>13</v>
      </c>
      <c r="B94" s="55">
        <f t="shared" si="1"/>
        <v>67.42</v>
      </c>
      <c r="C94" s="54" t="str">
        <f t="shared" si="4"/>
        <v>2</v>
      </c>
      <c r="D94" s="15" t="s">
        <v>272</v>
      </c>
      <c r="E94" s="54">
        <v>2.0</v>
      </c>
      <c r="F94" s="54"/>
      <c r="G94" s="54"/>
      <c r="H94" s="54"/>
      <c r="I94" s="54"/>
      <c r="J94" s="54"/>
      <c r="K94" s="56">
        <v>33.4</v>
      </c>
      <c r="L94" s="54">
        <v>3402.0</v>
      </c>
      <c r="M94" s="54">
        <v>2698.0</v>
      </c>
      <c r="N94" s="66">
        <v>1.2013888888888888</v>
      </c>
      <c r="O94" s="58">
        <v>0.5826388888888889</v>
      </c>
      <c r="P94" s="56">
        <v>4.78</v>
      </c>
      <c r="Q94" s="56">
        <v>4.8</v>
      </c>
      <c r="R94" s="65" t="s">
        <v>273</v>
      </c>
      <c r="S94" s="60" t="s">
        <v>104</v>
      </c>
      <c r="T94" s="60"/>
      <c r="V94" s="32"/>
      <c r="W94" s="32"/>
      <c r="X94" s="32"/>
      <c r="Y94" s="32"/>
      <c r="Z94" s="32"/>
      <c r="AA94" s="32"/>
      <c r="AB94" s="32"/>
      <c r="AC94" s="32"/>
      <c r="AD94" s="32"/>
      <c r="AE94" s="32"/>
      <c r="AF94" s="32"/>
      <c r="AG94" s="32"/>
      <c r="AH94" s="32"/>
    </row>
    <row r="95">
      <c r="A95" s="54" t="s">
        <v>13</v>
      </c>
      <c r="B95" s="55">
        <f t="shared" si="1"/>
        <v>68.04</v>
      </c>
      <c r="C95" s="54" t="str">
        <f t="shared" si="4"/>
        <v>2</v>
      </c>
      <c r="D95" s="15" t="s">
        <v>274</v>
      </c>
      <c r="E95" s="54">
        <v>1.0</v>
      </c>
      <c r="F95" s="54"/>
      <c r="G95" s="54"/>
      <c r="H95" s="54"/>
      <c r="I95" s="54"/>
      <c r="J95" s="54"/>
      <c r="K95" s="56">
        <v>36.94</v>
      </c>
      <c r="L95" s="54">
        <v>3110.0</v>
      </c>
      <c r="M95" s="54">
        <v>3110.0</v>
      </c>
      <c r="N95" s="61">
        <v>0.8715277777777778</v>
      </c>
      <c r="O95" s="58">
        <v>0.49583333333333335</v>
      </c>
      <c r="P95" s="56">
        <v>5.7</v>
      </c>
      <c r="Q95" s="56">
        <v>6.2</v>
      </c>
      <c r="R95" s="59" t="s">
        <v>275</v>
      </c>
      <c r="S95" s="60" t="s">
        <v>95</v>
      </c>
      <c r="T95" s="60"/>
      <c r="V95" s="32"/>
      <c r="W95" s="32"/>
      <c r="X95" s="32"/>
      <c r="Y95" s="32"/>
      <c r="Z95" s="32"/>
      <c r="AA95" s="32"/>
      <c r="AB95" s="32"/>
      <c r="AC95" s="32"/>
      <c r="AD95" s="32"/>
      <c r="AE95" s="32"/>
      <c r="AF95" s="32"/>
      <c r="AG95" s="32"/>
      <c r="AH95" s="32"/>
    </row>
    <row r="96">
      <c r="A96" s="54" t="s">
        <v>13</v>
      </c>
      <c r="B96" s="55">
        <f t="shared" si="1"/>
        <v>67.5</v>
      </c>
      <c r="C96" s="54" t="str">
        <f t="shared" si="4"/>
        <v>2</v>
      </c>
      <c r="D96" s="15" t="s">
        <v>276</v>
      </c>
      <c r="E96" s="54">
        <v>1.0</v>
      </c>
      <c r="F96" s="54"/>
      <c r="G96" s="54"/>
      <c r="H96" s="54"/>
      <c r="I96" s="54"/>
      <c r="J96" s="54"/>
      <c r="K96" s="56">
        <v>40.0</v>
      </c>
      <c r="L96" s="54">
        <v>2750.0</v>
      </c>
      <c r="M96" s="54">
        <v>2750.0</v>
      </c>
      <c r="N96" s="61">
        <v>0.8784722222222222</v>
      </c>
      <c r="O96" s="58">
        <v>0.41180555555555554</v>
      </c>
      <c r="P96" s="56">
        <v>6.8</v>
      </c>
      <c r="Q96" s="56">
        <v>6.8</v>
      </c>
      <c r="R96" s="59" t="s">
        <v>277</v>
      </c>
      <c r="S96" s="60" t="s">
        <v>278</v>
      </c>
      <c r="T96" s="60"/>
      <c r="V96" s="32"/>
      <c r="W96" s="32"/>
      <c r="X96" s="32"/>
      <c r="Y96" s="32"/>
      <c r="Z96" s="32"/>
      <c r="AA96" s="32"/>
      <c r="AB96" s="32"/>
      <c r="AC96" s="32"/>
      <c r="AD96" s="32"/>
      <c r="AE96" s="32"/>
      <c r="AF96" s="32"/>
      <c r="AG96" s="32"/>
      <c r="AH96" s="32"/>
    </row>
    <row r="97">
      <c r="A97" s="54" t="s">
        <v>13</v>
      </c>
      <c r="B97" s="55">
        <f t="shared" si="1"/>
        <v>68</v>
      </c>
      <c r="C97" s="54" t="str">
        <f t="shared" si="4"/>
        <v>2</v>
      </c>
      <c r="D97" s="15" t="s">
        <v>279</v>
      </c>
      <c r="E97" s="54">
        <v>1.0</v>
      </c>
      <c r="F97" s="54"/>
      <c r="G97" s="54"/>
      <c r="H97" s="54"/>
      <c r="I97" s="54"/>
      <c r="J97" s="54"/>
      <c r="K97" s="56">
        <v>37.0</v>
      </c>
      <c r="L97" s="54">
        <v>3100.0</v>
      </c>
      <c r="M97" s="54">
        <v>3100.0</v>
      </c>
      <c r="N97" s="64">
        <v>0.9236111111111112</v>
      </c>
      <c r="O97" s="58">
        <v>0.6006944444444444</v>
      </c>
      <c r="P97" s="56">
        <v>5.1</v>
      </c>
      <c r="Q97" s="56">
        <v>5.3</v>
      </c>
      <c r="R97" s="59" t="s">
        <v>280</v>
      </c>
      <c r="S97" s="60" t="s">
        <v>95</v>
      </c>
      <c r="T97" s="60"/>
      <c r="V97" s="32"/>
      <c r="W97" s="32"/>
      <c r="X97" s="32"/>
      <c r="Y97" s="32"/>
      <c r="Z97" s="32"/>
      <c r="AA97" s="32"/>
      <c r="AB97" s="32"/>
      <c r="AC97" s="32"/>
      <c r="AD97" s="32"/>
      <c r="AE97" s="32"/>
      <c r="AF97" s="32"/>
      <c r="AG97" s="32"/>
      <c r="AH97" s="32"/>
    </row>
    <row r="98">
      <c r="A98" s="54" t="s">
        <v>13</v>
      </c>
      <c r="B98" s="55">
        <f t="shared" si="1"/>
        <v>69.45</v>
      </c>
      <c r="C98" s="54" t="str">
        <f t="shared" si="4"/>
        <v>2</v>
      </c>
      <c r="D98" s="15" t="s">
        <v>281</v>
      </c>
      <c r="E98" s="54">
        <v>2.0</v>
      </c>
      <c r="F98" s="54"/>
      <c r="G98" s="54"/>
      <c r="H98" s="54"/>
      <c r="I98" s="54"/>
      <c r="J98" s="54"/>
      <c r="K98" s="56">
        <v>37.5</v>
      </c>
      <c r="L98" s="54">
        <v>3195.0</v>
      </c>
      <c r="M98" s="54">
        <v>3195.0</v>
      </c>
      <c r="N98" s="64">
        <v>0.9513888888888888</v>
      </c>
      <c r="O98" s="58">
        <v>0.49236111111111114</v>
      </c>
      <c r="P98" s="56">
        <v>5.9</v>
      </c>
      <c r="Q98" s="56">
        <v>6.2</v>
      </c>
      <c r="R98" s="59" t="s">
        <v>282</v>
      </c>
      <c r="S98" s="60" t="s">
        <v>95</v>
      </c>
      <c r="T98" s="60"/>
      <c r="V98" s="32"/>
      <c r="W98" s="32"/>
      <c r="X98" s="32"/>
      <c r="Y98" s="32"/>
      <c r="Z98" s="32"/>
      <c r="AA98" s="32"/>
      <c r="AB98" s="32"/>
      <c r="AC98" s="32"/>
      <c r="AD98" s="32"/>
      <c r="AE98" s="32"/>
      <c r="AF98" s="32"/>
      <c r="AG98" s="32"/>
      <c r="AH98" s="32"/>
    </row>
    <row r="99">
      <c r="A99" s="54" t="s">
        <v>13</v>
      </c>
      <c r="B99" s="55">
        <f t="shared" si="1"/>
        <v>70</v>
      </c>
      <c r="C99" s="54" t="str">
        <f t="shared" si="4"/>
        <v>2</v>
      </c>
      <c r="D99" s="15" t="s">
        <v>283</v>
      </c>
      <c r="E99" s="54">
        <v>3.0</v>
      </c>
      <c r="F99" s="54"/>
      <c r="G99" s="54"/>
      <c r="H99" s="54"/>
      <c r="I99" s="54"/>
      <c r="J99" s="54"/>
      <c r="K99" s="56">
        <v>47.0</v>
      </c>
      <c r="L99" s="54">
        <v>2300.0</v>
      </c>
      <c r="M99" s="54">
        <v>2300.0</v>
      </c>
      <c r="N99" s="64">
        <v>1.1041666666666667</v>
      </c>
      <c r="O99" s="61">
        <v>0.5833333333333334</v>
      </c>
      <c r="P99" s="56">
        <v>5.0</v>
      </c>
      <c r="Q99" s="56">
        <v>5.0</v>
      </c>
      <c r="R99" s="59" t="s">
        <v>284</v>
      </c>
      <c r="S99" s="60" t="s">
        <v>147</v>
      </c>
      <c r="T99" s="60"/>
      <c r="V99" s="32"/>
      <c r="W99" s="32"/>
      <c r="X99" s="32"/>
      <c r="Y99" s="32"/>
      <c r="Z99" s="32"/>
      <c r="AA99" s="32"/>
      <c r="AB99" s="32"/>
      <c r="AC99" s="32"/>
      <c r="AD99" s="32"/>
      <c r="AE99" s="32"/>
      <c r="AF99" s="32"/>
      <c r="AG99" s="32"/>
      <c r="AH99" s="32"/>
    </row>
    <row r="100">
      <c r="A100" s="54" t="s">
        <v>13</v>
      </c>
      <c r="B100" s="55">
        <f t="shared" si="1"/>
        <v>71.38</v>
      </c>
      <c r="C100" s="54" t="str">
        <f t="shared" si="4"/>
        <v>2</v>
      </c>
      <c r="D100" s="68" t="s">
        <v>285</v>
      </c>
      <c r="E100" s="69">
        <v>3.0</v>
      </c>
      <c r="F100" s="69"/>
      <c r="G100" s="69"/>
      <c r="H100" s="69"/>
      <c r="I100" s="69"/>
      <c r="J100" s="69"/>
      <c r="K100" s="70">
        <v>44.6</v>
      </c>
      <c r="L100" s="69">
        <v>2678.0</v>
      </c>
      <c r="M100" s="69">
        <v>5379.0</v>
      </c>
      <c r="N100" s="71">
        <v>1.75</v>
      </c>
      <c r="O100" s="69" t="s">
        <v>77</v>
      </c>
      <c r="P100" s="70" t="s">
        <v>77</v>
      </c>
      <c r="Q100" s="70" t="s">
        <v>77</v>
      </c>
      <c r="R100" s="54" t="s">
        <v>77</v>
      </c>
      <c r="S100" s="60" t="s">
        <v>238</v>
      </c>
      <c r="T100" s="60"/>
      <c r="V100" s="32"/>
      <c r="W100" s="32"/>
      <c r="X100" s="32"/>
      <c r="Y100" s="32"/>
      <c r="Z100" s="32"/>
      <c r="AA100" s="32"/>
      <c r="AB100" s="32"/>
      <c r="AC100" s="32"/>
      <c r="AD100" s="32"/>
      <c r="AE100" s="32"/>
      <c r="AF100" s="32"/>
      <c r="AG100" s="32"/>
      <c r="AH100" s="32"/>
    </row>
    <row r="101">
      <c r="A101" s="54" t="s">
        <v>13</v>
      </c>
      <c r="B101" s="55">
        <f t="shared" si="1"/>
        <v>71.85</v>
      </c>
      <c r="C101" s="54" t="str">
        <f t="shared" si="4"/>
        <v>2</v>
      </c>
      <c r="D101" s="68" t="s">
        <v>286</v>
      </c>
      <c r="E101" s="69">
        <v>1.0</v>
      </c>
      <c r="F101" s="69"/>
      <c r="G101" s="69"/>
      <c r="H101" s="69"/>
      <c r="I101" s="69"/>
      <c r="J101" s="69"/>
      <c r="K101" s="70">
        <v>42.0</v>
      </c>
      <c r="L101" s="69">
        <v>2985.0</v>
      </c>
      <c r="M101" s="69">
        <v>2985.0</v>
      </c>
      <c r="N101" s="71">
        <v>1.25</v>
      </c>
      <c r="O101" s="69" t="s">
        <v>77</v>
      </c>
      <c r="P101" s="70" t="s">
        <v>77</v>
      </c>
      <c r="Q101" s="70" t="s">
        <v>77</v>
      </c>
      <c r="R101" s="54" t="s">
        <v>77</v>
      </c>
      <c r="S101" s="60" t="s">
        <v>147</v>
      </c>
      <c r="T101" s="60"/>
      <c r="V101" s="32"/>
      <c r="W101" s="32"/>
      <c r="X101" s="32"/>
      <c r="Y101" s="32"/>
      <c r="Z101" s="32"/>
      <c r="AA101" s="32"/>
      <c r="AB101" s="32"/>
      <c r="AC101" s="32"/>
      <c r="AD101" s="32"/>
      <c r="AE101" s="32"/>
      <c r="AF101" s="32"/>
      <c r="AG101" s="32"/>
      <c r="AH101" s="32"/>
    </row>
    <row r="102">
      <c r="A102" s="54" t="s">
        <v>13</v>
      </c>
      <c r="B102" s="55">
        <f t="shared" si="1"/>
        <v>71.5</v>
      </c>
      <c r="C102" s="54" t="str">
        <f t="shared" si="4"/>
        <v>2</v>
      </c>
      <c r="D102" s="15" t="s">
        <v>287</v>
      </c>
      <c r="E102" s="54">
        <v>5.0</v>
      </c>
      <c r="F102" s="54"/>
      <c r="G102" s="54"/>
      <c r="H102" s="54"/>
      <c r="I102" s="54"/>
      <c r="J102" s="54"/>
      <c r="K102" s="56">
        <v>40.32</v>
      </c>
      <c r="L102" s="54">
        <v>3118.0</v>
      </c>
      <c r="M102" s="54">
        <v>3118.0</v>
      </c>
      <c r="N102" s="57">
        <v>0.9965277777777778</v>
      </c>
      <c r="O102" s="58">
        <v>0.4986111111111111</v>
      </c>
      <c r="P102" s="56">
        <v>6.0</v>
      </c>
      <c r="Q102" s="56">
        <v>6.2</v>
      </c>
      <c r="R102" s="59" t="s">
        <v>288</v>
      </c>
      <c r="S102" s="60" t="s">
        <v>95</v>
      </c>
      <c r="T102" s="60" t="s">
        <v>91</v>
      </c>
      <c r="V102" s="32"/>
      <c r="W102" s="32"/>
      <c r="X102" s="32"/>
      <c r="Y102" s="32"/>
      <c r="Z102" s="32"/>
      <c r="AA102" s="32"/>
      <c r="AB102" s="32"/>
      <c r="AC102" s="32"/>
      <c r="AD102" s="32"/>
      <c r="AE102" s="32"/>
      <c r="AF102" s="32"/>
      <c r="AG102" s="32"/>
      <c r="AH102" s="32"/>
    </row>
    <row r="103">
      <c r="A103" s="54" t="s">
        <v>13</v>
      </c>
      <c r="B103" s="55">
        <f t="shared" si="1"/>
        <v>72.36</v>
      </c>
      <c r="C103" s="54" t="str">
        <f t="shared" si="4"/>
        <v>2</v>
      </c>
      <c r="D103" s="15" t="s">
        <v>289</v>
      </c>
      <c r="E103" s="54">
        <v>2.0</v>
      </c>
      <c r="F103" s="54"/>
      <c r="G103" s="54"/>
      <c r="H103" s="54"/>
      <c r="I103" s="54"/>
      <c r="J103" s="54"/>
      <c r="K103" s="56">
        <v>33.81</v>
      </c>
      <c r="L103" s="54">
        <v>3855.0</v>
      </c>
      <c r="M103" s="54">
        <v>3855.0</v>
      </c>
      <c r="N103" s="54" t="s">
        <v>77</v>
      </c>
      <c r="O103" s="58">
        <v>0.7048611111111112</v>
      </c>
      <c r="P103" s="56">
        <v>4.3</v>
      </c>
      <c r="Q103" s="56">
        <v>4.7</v>
      </c>
      <c r="R103" s="65" t="s">
        <v>290</v>
      </c>
      <c r="S103" s="60" t="s">
        <v>90</v>
      </c>
      <c r="T103" s="60"/>
      <c r="V103" s="32"/>
      <c r="W103" s="32"/>
      <c r="X103" s="32"/>
      <c r="Y103" s="32"/>
      <c r="Z103" s="32"/>
      <c r="AA103" s="32"/>
      <c r="AB103" s="32"/>
      <c r="AC103" s="32"/>
      <c r="AD103" s="32"/>
      <c r="AE103" s="32"/>
      <c r="AF103" s="32"/>
      <c r="AG103" s="32"/>
      <c r="AH103" s="32"/>
    </row>
    <row r="104">
      <c r="A104" s="54" t="s">
        <v>13</v>
      </c>
      <c r="B104" s="55">
        <f t="shared" si="1"/>
        <v>73.05</v>
      </c>
      <c r="C104" s="54" t="str">
        <f t="shared" si="4"/>
        <v>2</v>
      </c>
      <c r="D104" s="15" t="s">
        <v>291</v>
      </c>
      <c r="E104" s="54">
        <v>1.0</v>
      </c>
      <c r="F104" s="54"/>
      <c r="G104" s="54"/>
      <c r="H104" s="54"/>
      <c r="I104" s="54"/>
      <c r="J104" s="54"/>
      <c r="K104" s="56">
        <v>37.27</v>
      </c>
      <c r="L104" s="54">
        <v>3578.0</v>
      </c>
      <c r="M104" s="54">
        <v>3578.0</v>
      </c>
      <c r="N104" s="64">
        <v>1.1222222222222222</v>
      </c>
      <c r="O104" s="58">
        <v>0.55</v>
      </c>
      <c r="P104" s="56">
        <v>5.5</v>
      </c>
      <c r="Q104" s="56">
        <v>5.6</v>
      </c>
      <c r="R104" s="59" t="s">
        <v>292</v>
      </c>
      <c r="S104" s="60" t="s">
        <v>127</v>
      </c>
      <c r="T104" s="60" t="s">
        <v>91</v>
      </c>
      <c r="V104" s="32"/>
      <c r="W104" s="32"/>
      <c r="X104" s="32"/>
      <c r="Y104" s="32"/>
      <c r="Z104" s="32"/>
      <c r="AA104" s="32"/>
      <c r="AB104" s="32"/>
      <c r="AC104" s="32"/>
      <c r="AD104" s="32"/>
      <c r="AE104" s="32"/>
      <c r="AF104" s="32"/>
      <c r="AG104" s="32"/>
      <c r="AH104" s="32"/>
    </row>
    <row r="105">
      <c r="A105" s="54" t="s">
        <v>13</v>
      </c>
      <c r="B105" s="55">
        <f t="shared" si="1"/>
        <v>72.61</v>
      </c>
      <c r="C105" s="54" t="str">
        <f t="shared" si="4"/>
        <v>2</v>
      </c>
      <c r="D105" s="15" t="s">
        <v>293</v>
      </c>
      <c r="E105" s="54">
        <v>2.0</v>
      </c>
      <c r="F105" s="54"/>
      <c r="G105" s="54"/>
      <c r="H105" s="54"/>
      <c r="I105" s="54"/>
      <c r="J105" s="54"/>
      <c r="K105" s="56">
        <v>36.7</v>
      </c>
      <c r="L105" s="54">
        <v>3591.0</v>
      </c>
      <c r="M105" s="54">
        <v>3591.0</v>
      </c>
      <c r="N105" s="54" t="s">
        <v>77</v>
      </c>
      <c r="O105" s="58">
        <v>0.6847222222222222</v>
      </c>
      <c r="P105" s="56">
        <v>4.4</v>
      </c>
      <c r="Q105" s="56">
        <v>4.4</v>
      </c>
      <c r="R105" s="59" t="s">
        <v>294</v>
      </c>
      <c r="S105" s="60" t="s">
        <v>244</v>
      </c>
      <c r="T105" s="60"/>
      <c r="V105" s="32"/>
      <c r="W105" s="32"/>
      <c r="X105" s="32"/>
      <c r="Y105" s="32"/>
      <c r="Z105" s="32"/>
      <c r="AA105" s="32"/>
      <c r="AB105" s="32"/>
      <c r="AC105" s="32"/>
      <c r="AD105" s="32"/>
      <c r="AE105" s="32"/>
      <c r="AF105" s="32"/>
      <c r="AG105" s="32"/>
      <c r="AH105" s="32"/>
    </row>
    <row r="106">
      <c r="A106" s="54" t="s">
        <v>13</v>
      </c>
      <c r="B106" s="55">
        <f t="shared" si="1"/>
        <v>74.97</v>
      </c>
      <c r="C106" s="54" t="str">
        <f t="shared" si="4"/>
        <v>2</v>
      </c>
      <c r="D106" s="15" t="s">
        <v>295</v>
      </c>
      <c r="E106" s="54">
        <v>2.0</v>
      </c>
      <c r="F106" s="54"/>
      <c r="G106" s="54"/>
      <c r="H106" s="54"/>
      <c r="I106" s="54"/>
      <c r="J106" s="54"/>
      <c r="K106" s="56">
        <v>40.0</v>
      </c>
      <c r="L106" s="54">
        <v>3497.0</v>
      </c>
      <c r="M106" s="54">
        <v>3497.0</v>
      </c>
      <c r="N106" s="61">
        <v>0.9548611111111112</v>
      </c>
      <c r="O106" s="58">
        <v>0.6152777777777778</v>
      </c>
      <c r="P106" s="56">
        <v>5.1</v>
      </c>
      <c r="Q106" s="56">
        <v>5.4</v>
      </c>
      <c r="R106" s="59" t="s">
        <v>296</v>
      </c>
      <c r="S106" s="60" t="s">
        <v>95</v>
      </c>
      <c r="T106" s="60"/>
      <c r="V106" s="32"/>
      <c r="W106" s="32"/>
      <c r="X106" s="32"/>
      <c r="Y106" s="32"/>
      <c r="Z106" s="32"/>
      <c r="AA106" s="32"/>
      <c r="AB106" s="32"/>
      <c r="AC106" s="32"/>
      <c r="AD106" s="32"/>
      <c r="AE106" s="32"/>
      <c r="AF106" s="32"/>
      <c r="AG106" s="32"/>
      <c r="AH106" s="32"/>
    </row>
    <row r="107">
      <c r="A107" s="54" t="s">
        <v>13</v>
      </c>
      <c r="B107" s="55">
        <f t="shared" si="1"/>
        <v>74.6</v>
      </c>
      <c r="C107" s="54" t="str">
        <f t="shared" si="4"/>
        <v>2</v>
      </c>
      <c r="D107" s="15" t="s">
        <v>297</v>
      </c>
      <c r="E107" s="54">
        <v>1.0</v>
      </c>
      <c r="F107" s="54"/>
      <c r="G107" s="54"/>
      <c r="H107" s="54"/>
      <c r="I107" s="54"/>
      <c r="J107" s="54"/>
      <c r="K107" s="56">
        <v>39.58</v>
      </c>
      <c r="L107" s="54">
        <v>3502.0</v>
      </c>
      <c r="M107" s="54">
        <v>3502.0</v>
      </c>
      <c r="N107" s="64">
        <v>1.1597222222222223</v>
      </c>
      <c r="O107" s="58">
        <v>0.7472222222222222</v>
      </c>
      <c r="P107" s="56">
        <v>4.2</v>
      </c>
      <c r="Q107" s="56">
        <v>4.2</v>
      </c>
      <c r="R107" s="59" t="s">
        <v>298</v>
      </c>
      <c r="S107" s="60" t="s">
        <v>244</v>
      </c>
      <c r="T107" s="60"/>
      <c r="V107" s="32"/>
      <c r="W107" s="32"/>
      <c r="X107" s="32"/>
      <c r="Y107" s="32"/>
      <c r="Z107" s="32"/>
      <c r="AA107" s="32"/>
      <c r="AB107" s="32"/>
      <c r="AC107" s="32"/>
      <c r="AD107" s="32"/>
      <c r="AE107" s="32"/>
      <c r="AF107" s="32"/>
      <c r="AG107" s="32"/>
      <c r="AH107" s="32"/>
    </row>
    <row r="108">
      <c r="A108" s="54" t="s">
        <v>13</v>
      </c>
      <c r="B108" s="55">
        <f t="shared" si="1"/>
        <v>75</v>
      </c>
      <c r="C108" s="54" t="str">
        <f t="shared" si="4"/>
        <v>3</v>
      </c>
      <c r="D108" s="15" t="s">
        <v>299</v>
      </c>
      <c r="E108" s="54">
        <v>7.0</v>
      </c>
      <c r="F108" s="54"/>
      <c r="G108" s="54"/>
      <c r="H108" s="54"/>
      <c r="I108" s="54"/>
      <c r="J108" s="54"/>
      <c r="K108" s="56">
        <v>45.3</v>
      </c>
      <c r="L108" s="54">
        <v>2970.0</v>
      </c>
      <c r="M108" s="54">
        <v>2970.0</v>
      </c>
      <c r="N108" s="64">
        <v>1.2395833333333333</v>
      </c>
      <c r="O108" s="58">
        <v>0.6388888888888888</v>
      </c>
      <c r="P108" s="56">
        <v>4.9</v>
      </c>
      <c r="Q108" s="56">
        <v>4.9</v>
      </c>
      <c r="R108" s="59" t="s">
        <v>300</v>
      </c>
      <c r="S108" s="60" t="s">
        <v>95</v>
      </c>
      <c r="T108" s="60"/>
      <c r="V108" s="32"/>
      <c r="W108" s="32"/>
      <c r="X108" s="32"/>
      <c r="Y108" s="32"/>
      <c r="Z108" s="32"/>
      <c r="AA108" s="32"/>
      <c r="AB108" s="32"/>
      <c r="AC108" s="32"/>
      <c r="AD108" s="32"/>
      <c r="AE108" s="32"/>
      <c r="AF108" s="32"/>
      <c r="AG108" s="32"/>
      <c r="AH108" s="32"/>
    </row>
    <row r="109">
      <c r="A109" s="54" t="s">
        <v>13</v>
      </c>
      <c r="B109" s="55">
        <f t="shared" si="1"/>
        <v>76.26</v>
      </c>
      <c r="C109" s="54" t="str">
        <f t="shared" si="4"/>
        <v>3</v>
      </c>
      <c r="D109" s="15" t="s">
        <v>301</v>
      </c>
      <c r="E109" s="54">
        <v>3.0</v>
      </c>
      <c r="F109" s="54"/>
      <c r="G109" s="54"/>
      <c r="H109" s="54"/>
      <c r="I109" s="54"/>
      <c r="J109" s="54"/>
      <c r="K109" s="56">
        <v>49.07</v>
      </c>
      <c r="L109" s="54">
        <v>2719.0</v>
      </c>
      <c r="M109" s="54">
        <v>2719.0</v>
      </c>
      <c r="N109" s="64">
        <v>1.0694444444444444</v>
      </c>
      <c r="O109" s="58">
        <v>0.7319444444444444</v>
      </c>
      <c r="P109" s="56">
        <v>4.3</v>
      </c>
      <c r="Q109" s="56">
        <v>4.6</v>
      </c>
      <c r="R109" s="59" t="s">
        <v>302</v>
      </c>
      <c r="S109" s="60" t="s">
        <v>171</v>
      </c>
      <c r="T109" s="60"/>
      <c r="V109" s="32"/>
      <c r="W109" s="32"/>
      <c r="X109" s="32"/>
      <c r="Y109" s="32"/>
      <c r="Z109" s="32"/>
      <c r="AA109" s="32"/>
      <c r="AB109" s="32"/>
      <c r="AC109" s="32"/>
      <c r="AD109" s="32"/>
      <c r="AE109" s="32"/>
      <c r="AF109" s="32"/>
      <c r="AG109" s="32"/>
      <c r="AH109" s="32"/>
    </row>
    <row r="110">
      <c r="A110" s="54" t="s">
        <v>13</v>
      </c>
      <c r="B110" s="55">
        <f> ROUNDUP(K110+L110/100,0)</f>
        <v>76</v>
      </c>
      <c r="C110" s="54" t="str">
        <f t="shared" si="4"/>
        <v>3</v>
      </c>
      <c r="D110" s="15" t="s">
        <v>303</v>
      </c>
      <c r="E110" s="54">
        <v>0.0</v>
      </c>
      <c r="F110" s="54"/>
      <c r="G110" s="54"/>
      <c r="H110" s="54"/>
      <c r="I110" s="54"/>
      <c r="J110" s="54"/>
      <c r="K110" s="56">
        <v>34.8</v>
      </c>
      <c r="L110" s="54">
        <v>4068.0</v>
      </c>
      <c r="M110" s="54">
        <v>4068.0</v>
      </c>
      <c r="N110" s="64">
        <v>1.3645833333333333</v>
      </c>
      <c r="O110" s="58">
        <v>0.9541666666666667</v>
      </c>
      <c r="P110" s="56">
        <v>3.3</v>
      </c>
      <c r="Q110" s="56">
        <v>3.6</v>
      </c>
      <c r="R110" s="65" t="s">
        <v>304</v>
      </c>
      <c r="S110" s="60" t="s">
        <v>171</v>
      </c>
      <c r="T110" s="60"/>
      <c r="V110" s="32"/>
      <c r="W110" s="32"/>
      <c r="X110" s="32"/>
      <c r="Y110" s="32"/>
      <c r="Z110" s="32"/>
      <c r="AA110" s="32"/>
      <c r="AB110" s="32"/>
      <c r="AC110" s="32"/>
      <c r="AD110" s="32"/>
      <c r="AE110" s="32"/>
      <c r="AF110" s="32"/>
      <c r="AG110" s="32"/>
      <c r="AH110" s="32"/>
    </row>
    <row r="111">
      <c r="A111" s="54" t="s">
        <v>13</v>
      </c>
      <c r="B111" s="55">
        <f t="shared" ref="B111:B162" si="5">K111+L111/100</f>
        <v>77.93</v>
      </c>
      <c r="C111" s="54" t="str">
        <f t="shared" si="4"/>
        <v>3</v>
      </c>
      <c r="D111" s="15" t="s">
        <v>305</v>
      </c>
      <c r="E111" s="54">
        <v>2.0</v>
      </c>
      <c r="F111" s="54"/>
      <c r="G111" s="54"/>
      <c r="H111" s="54"/>
      <c r="I111" s="54"/>
      <c r="J111" s="54"/>
      <c r="K111" s="56">
        <v>43.52</v>
      </c>
      <c r="L111" s="54">
        <v>3441.0</v>
      </c>
      <c r="M111" s="54">
        <v>3441.0</v>
      </c>
      <c r="N111" s="64">
        <v>1.25</v>
      </c>
      <c r="O111" s="58">
        <v>0.6861111111111111</v>
      </c>
      <c r="P111" s="56">
        <v>4.7</v>
      </c>
      <c r="Q111" s="56">
        <v>4.7</v>
      </c>
      <c r="R111" s="59" t="s">
        <v>306</v>
      </c>
      <c r="S111" s="60" t="s">
        <v>307</v>
      </c>
      <c r="T111" s="60"/>
      <c r="V111" s="32"/>
      <c r="W111" s="32"/>
      <c r="X111" s="32"/>
      <c r="Y111" s="32"/>
      <c r="Z111" s="32"/>
      <c r="AA111" s="32"/>
      <c r="AB111" s="32"/>
      <c r="AC111" s="32"/>
      <c r="AD111" s="32"/>
      <c r="AE111" s="32"/>
      <c r="AF111" s="32"/>
      <c r="AG111" s="32"/>
      <c r="AH111" s="32"/>
    </row>
    <row r="112">
      <c r="A112" s="54" t="s">
        <v>13</v>
      </c>
      <c r="B112" s="55">
        <f t="shared" si="5"/>
        <v>79.07</v>
      </c>
      <c r="C112" s="54" t="str">
        <f t="shared" si="4"/>
        <v>3</v>
      </c>
      <c r="D112" s="15" t="s">
        <v>308</v>
      </c>
      <c r="E112" s="54">
        <v>4.0</v>
      </c>
      <c r="F112" s="54"/>
      <c r="G112" s="54"/>
      <c r="H112" s="54"/>
      <c r="I112" s="54"/>
      <c r="J112" s="54"/>
      <c r="K112" s="56">
        <v>47.3</v>
      </c>
      <c r="L112" s="54">
        <v>3177.0</v>
      </c>
      <c r="M112" s="54">
        <v>3177.0</v>
      </c>
      <c r="N112" s="64">
        <v>1.2083333333333333</v>
      </c>
      <c r="O112" s="58">
        <v>0.6555555555555556</v>
      </c>
      <c r="P112" s="56">
        <v>5.0</v>
      </c>
      <c r="Q112" s="56">
        <v>5.3</v>
      </c>
      <c r="R112" s="59" t="s">
        <v>309</v>
      </c>
      <c r="S112" s="60" t="s">
        <v>171</v>
      </c>
      <c r="T112" s="60"/>
      <c r="V112" s="32"/>
      <c r="W112" s="32"/>
      <c r="X112" s="32"/>
      <c r="Y112" s="32"/>
      <c r="Z112" s="32"/>
      <c r="AA112" s="32"/>
      <c r="AB112" s="32"/>
      <c r="AC112" s="32"/>
      <c r="AD112" s="32"/>
      <c r="AE112" s="32"/>
      <c r="AF112" s="32"/>
      <c r="AG112" s="32"/>
      <c r="AH112" s="32"/>
    </row>
    <row r="113">
      <c r="A113" s="72" t="s">
        <v>15</v>
      </c>
      <c r="B113" s="73">
        <f t="shared" si="5"/>
        <v>79.82</v>
      </c>
      <c r="C113" s="74" t="str">
        <f t="shared" si="4"/>
        <v>3</v>
      </c>
      <c r="D113" s="17" t="s">
        <v>310</v>
      </c>
      <c r="E113" s="72">
        <v>6.0</v>
      </c>
      <c r="F113" s="72"/>
      <c r="G113" s="72"/>
      <c r="H113" s="72"/>
      <c r="I113" s="72"/>
      <c r="J113" s="72"/>
      <c r="K113" s="75">
        <v>38.0</v>
      </c>
      <c r="L113" s="72">
        <v>4182.0</v>
      </c>
      <c r="M113" s="72">
        <v>4182.0</v>
      </c>
      <c r="N113" s="76">
        <v>1.59375</v>
      </c>
      <c r="O113" s="77">
        <v>0.7006944444444444</v>
      </c>
      <c r="P113" s="75">
        <v>4.8</v>
      </c>
      <c r="Q113" s="75">
        <v>5.0</v>
      </c>
      <c r="R113" s="78" t="s">
        <v>311</v>
      </c>
      <c r="S113" s="79" t="s">
        <v>312</v>
      </c>
      <c r="T113" s="79" t="s">
        <v>91</v>
      </c>
      <c r="V113" s="32"/>
      <c r="W113" s="32"/>
      <c r="X113" s="32"/>
      <c r="Y113" s="32"/>
      <c r="Z113" s="32"/>
      <c r="AA113" s="32"/>
      <c r="AB113" s="32"/>
      <c r="AC113" s="32"/>
      <c r="AD113" s="32"/>
      <c r="AE113" s="32"/>
      <c r="AF113" s="32"/>
      <c r="AG113" s="32"/>
      <c r="AH113" s="32"/>
    </row>
    <row r="114">
      <c r="A114" s="72" t="s">
        <v>15</v>
      </c>
      <c r="B114" s="73">
        <f t="shared" si="5"/>
        <v>80.17</v>
      </c>
      <c r="C114" s="74" t="str">
        <f t="shared" si="4"/>
        <v>3</v>
      </c>
      <c r="D114" s="17" t="s">
        <v>313</v>
      </c>
      <c r="E114" s="72">
        <v>7.0</v>
      </c>
      <c r="F114" s="72"/>
      <c r="G114" s="72"/>
      <c r="H114" s="72"/>
      <c r="I114" s="72"/>
      <c r="J114" s="72"/>
      <c r="K114" s="75">
        <v>41.0</v>
      </c>
      <c r="L114" s="72">
        <v>3917.0</v>
      </c>
      <c r="M114" s="72">
        <v>3917.0</v>
      </c>
      <c r="N114" s="76">
        <v>1.4951388888888888</v>
      </c>
      <c r="O114" s="77">
        <v>0.8138888888888889</v>
      </c>
      <c r="P114" s="75">
        <v>4.1</v>
      </c>
      <c r="Q114" s="75">
        <v>4.5</v>
      </c>
      <c r="R114" s="78" t="s">
        <v>314</v>
      </c>
      <c r="S114" s="79" t="s">
        <v>312</v>
      </c>
      <c r="T114" s="79" t="s">
        <v>91</v>
      </c>
      <c r="V114" s="32"/>
      <c r="W114" s="32"/>
      <c r="X114" s="32"/>
      <c r="Y114" s="32"/>
      <c r="Z114" s="32"/>
      <c r="AA114" s="32"/>
      <c r="AB114" s="32"/>
      <c r="AC114" s="32"/>
      <c r="AD114" s="32"/>
      <c r="AE114" s="32"/>
      <c r="AF114" s="32"/>
      <c r="AG114" s="32"/>
      <c r="AH114" s="32"/>
    </row>
    <row r="115">
      <c r="A115" s="72" t="s">
        <v>15</v>
      </c>
      <c r="B115" s="73">
        <f t="shared" si="5"/>
        <v>80.1</v>
      </c>
      <c r="C115" s="74" t="str">
        <f t="shared" si="4"/>
        <v>3</v>
      </c>
      <c r="D115" s="17" t="s">
        <v>315</v>
      </c>
      <c r="E115" s="72">
        <v>1.0</v>
      </c>
      <c r="F115" s="72"/>
      <c r="G115" s="72"/>
      <c r="H115" s="72"/>
      <c r="I115" s="72"/>
      <c r="J115" s="72"/>
      <c r="K115" s="75">
        <v>48.08</v>
      </c>
      <c r="L115" s="72">
        <v>3202.0</v>
      </c>
      <c r="M115" s="72">
        <v>3202.0</v>
      </c>
      <c r="N115" s="76">
        <v>1.1041666666666667</v>
      </c>
      <c r="O115" s="80">
        <v>0.6375</v>
      </c>
      <c r="P115" s="75">
        <v>5.2</v>
      </c>
      <c r="Q115" s="75">
        <v>5.8</v>
      </c>
      <c r="R115" s="78" t="s">
        <v>316</v>
      </c>
      <c r="S115" s="79" t="s">
        <v>95</v>
      </c>
      <c r="T115" s="79"/>
      <c r="V115" s="32"/>
      <c r="W115" s="32"/>
      <c r="X115" s="32"/>
      <c r="Y115" s="32"/>
      <c r="Z115" s="32"/>
      <c r="AA115" s="32"/>
      <c r="AB115" s="32"/>
      <c r="AC115" s="32"/>
      <c r="AD115" s="32"/>
      <c r="AE115" s="32"/>
      <c r="AF115" s="32"/>
      <c r="AG115" s="32"/>
      <c r="AH115" s="32"/>
    </row>
    <row r="116">
      <c r="A116" s="72" t="s">
        <v>15</v>
      </c>
      <c r="B116" s="73">
        <f t="shared" si="5"/>
        <v>83.16</v>
      </c>
      <c r="C116" s="74" t="str">
        <f t="shared" si="4"/>
        <v>3</v>
      </c>
      <c r="D116" s="17" t="s">
        <v>317</v>
      </c>
      <c r="E116" s="72">
        <v>1.0</v>
      </c>
      <c r="F116" s="72"/>
      <c r="G116" s="72"/>
      <c r="H116" s="72"/>
      <c r="I116" s="72"/>
      <c r="J116" s="72"/>
      <c r="K116" s="75">
        <v>41.32</v>
      </c>
      <c r="L116" s="72">
        <v>4184.0</v>
      </c>
      <c r="M116" s="72">
        <v>4184.0</v>
      </c>
      <c r="N116" s="76">
        <v>1.5069444444444444</v>
      </c>
      <c r="O116" s="77">
        <v>0.7909722222222222</v>
      </c>
      <c r="P116" s="75">
        <v>4.4</v>
      </c>
      <c r="Q116" s="75">
        <v>4.8</v>
      </c>
      <c r="R116" s="78" t="s">
        <v>318</v>
      </c>
      <c r="S116" s="79" t="s">
        <v>175</v>
      </c>
      <c r="T116" s="79"/>
      <c r="V116" s="32"/>
      <c r="W116" s="32"/>
      <c r="X116" s="32"/>
      <c r="Y116" s="32"/>
      <c r="Z116" s="32"/>
      <c r="AA116" s="32"/>
      <c r="AB116" s="32"/>
      <c r="AC116" s="32"/>
      <c r="AD116" s="32"/>
      <c r="AE116" s="32"/>
      <c r="AF116" s="32"/>
      <c r="AG116" s="32"/>
      <c r="AH116" s="32"/>
    </row>
    <row r="117">
      <c r="A117" s="72" t="s">
        <v>15</v>
      </c>
      <c r="B117" s="73">
        <f t="shared" si="5"/>
        <v>85</v>
      </c>
      <c r="C117" s="74" t="str">
        <f t="shared" si="4"/>
        <v>3</v>
      </c>
      <c r="D117" s="17" t="s">
        <v>319</v>
      </c>
      <c r="E117" s="72">
        <v>3.0</v>
      </c>
      <c r="F117" s="72"/>
      <c r="G117" s="72"/>
      <c r="H117" s="72"/>
      <c r="I117" s="72"/>
      <c r="J117" s="72"/>
      <c r="K117" s="75">
        <v>45.0</v>
      </c>
      <c r="L117" s="72">
        <v>4000.0</v>
      </c>
      <c r="M117" s="72">
        <v>4000.0</v>
      </c>
      <c r="N117" s="76">
        <v>1.3229166666666667</v>
      </c>
      <c r="O117" s="77">
        <v>0.6354166666666666</v>
      </c>
      <c r="P117" s="75">
        <v>5.6</v>
      </c>
      <c r="Q117" s="75">
        <v>6.1</v>
      </c>
      <c r="R117" s="78" t="s">
        <v>320</v>
      </c>
      <c r="S117" s="79" t="s">
        <v>104</v>
      </c>
      <c r="T117" s="79"/>
      <c r="V117" s="32"/>
      <c r="W117" s="32"/>
      <c r="X117" s="32"/>
      <c r="Y117" s="32"/>
      <c r="Z117" s="32"/>
      <c r="AA117" s="32"/>
      <c r="AB117" s="32"/>
      <c r="AC117" s="32"/>
      <c r="AD117" s="32"/>
      <c r="AE117" s="32"/>
      <c r="AF117" s="32"/>
      <c r="AG117" s="32"/>
      <c r="AH117" s="32"/>
    </row>
    <row r="118">
      <c r="A118" s="72" t="s">
        <v>15</v>
      </c>
      <c r="B118" s="73">
        <f t="shared" si="5"/>
        <v>85.66</v>
      </c>
      <c r="C118" s="74" t="str">
        <f t="shared" si="4"/>
        <v>3</v>
      </c>
      <c r="D118" s="17" t="s">
        <v>321</v>
      </c>
      <c r="E118" s="72">
        <v>1.0</v>
      </c>
      <c r="F118" s="72"/>
      <c r="G118" s="72"/>
      <c r="H118" s="72"/>
      <c r="I118" s="72"/>
      <c r="J118" s="72"/>
      <c r="K118" s="75">
        <v>57.3</v>
      </c>
      <c r="L118" s="72">
        <v>2836.0</v>
      </c>
      <c r="M118" s="72">
        <v>2836.0</v>
      </c>
      <c r="N118" s="76">
        <v>1.125</v>
      </c>
      <c r="O118" s="72" t="s">
        <v>77</v>
      </c>
      <c r="P118" s="75" t="s">
        <v>77</v>
      </c>
      <c r="Q118" s="75" t="s">
        <v>77</v>
      </c>
      <c r="R118" s="74" t="s">
        <v>77</v>
      </c>
      <c r="S118" s="79" t="s">
        <v>307</v>
      </c>
      <c r="T118" s="79"/>
      <c r="V118" s="32"/>
      <c r="W118" s="32"/>
      <c r="X118" s="32"/>
      <c r="Y118" s="32"/>
      <c r="Z118" s="32"/>
      <c r="AA118" s="32"/>
      <c r="AB118" s="32"/>
      <c r="AC118" s="32"/>
      <c r="AD118" s="32"/>
      <c r="AE118" s="32"/>
      <c r="AF118" s="32"/>
      <c r="AG118" s="32"/>
      <c r="AH118" s="32"/>
    </row>
    <row r="119">
      <c r="A119" s="72" t="s">
        <v>15</v>
      </c>
      <c r="B119" s="73">
        <f t="shared" si="5"/>
        <v>87.36</v>
      </c>
      <c r="C119" s="74" t="str">
        <f t="shared" si="4"/>
        <v>3</v>
      </c>
      <c r="D119" s="17" t="s">
        <v>322</v>
      </c>
      <c r="E119" s="72">
        <v>3.0</v>
      </c>
      <c r="F119" s="72"/>
      <c r="G119" s="72"/>
      <c r="H119" s="72"/>
      <c r="I119" s="72"/>
      <c r="J119" s="72"/>
      <c r="K119" s="75">
        <v>53.47</v>
      </c>
      <c r="L119" s="72">
        <v>3389.0</v>
      </c>
      <c r="M119" s="72">
        <v>3389.0</v>
      </c>
      <c r="N119" s="76">
        <v>1.1583333333333334</v>
      </c>
      <c r="O119" s="77">
        <v>0.6756944444444445</v>
      </c>
      <c r="P119" s="75">
        <v>5.4</v>
      </c>
      <c r="Q119" s="75">
        <v>5.7</v>
      </c>
      <c r="R119" s="78" t="s">
        <v>323</v>
      </c>
      <c r="S119" s="79" t="s">
        <v>175</v>
      </c>
      <c r="T119" s="79" t="s">
        <v>91</v>
      </c>
      <c r="V119" s="32"/>
      <c r="W119" s="32"/>
      <c r="X119" s="32"/>
      <c r="Y119" s="32"/>
      <c r="Z119" s="32"/>
      <c r="AA119" s="32"/>
      <c r="AB119" s="32"/>
      <c r="AC119" s="32"/>
      <c r="AD119" s="32"/>
      <c r="AE119" s="32"/>
      <c r="AF119" s="32"/>
      <c r="AG119" s="32"/>
      <c r="AH119" s="32"/>
    </row>
    <row r="120">
      <c r="A120" s="72" t="s">
        <v>15</v>
      </c>
      <c r="B120" s="73">
        <f t="shared" si="5"/>
        <v>87.12</v>
      </c>
      <c r="C120" s="74" t="str">
        <f t="shared" si="4"/>
        <v>3</v>
      </c>
      <c r="D120" s="17" t="s">
        <v>324</v>
      </c>
      <c r="E120" s="72">
        <v>1.0</v>
      </c>
      <c r="F120" s="72"/>
      <c r="G120" s="72"/>
      <c r="H120" s="72"/>
      <c r="I120" s="72"/>
      <c r="J120" s="72"/>
      <c r="K120" s="75">
        <v>44.4</v>
      </c>
      <c r="L120" s="72">
        <v>4272.0</v>
      </c>
      <c r="M120" s="72">
        <v>4272.0</v>
      </c>
      <c r="N120" s="76">
        <v>1.2847222222222223</v>
      </c>
      <c r="O120" s="77">
        <v>0.5493055555555556</v>
      </c>
      <c r="P120" s="75">
        <v>6.6</v>
      </c>
      <c r="Q120" s="75">
        <v>6.9</v>
      </c>
      <c r="R120" s="78" t="s">
        <v>325</v>
      </c>
      <c r="S120" s="79" t="s">
        <v>244</v>
      </c>
      <c r="T120" s="79"/>
      <c r="V120" s="32"/>
      <c r="W120" s="32"/>
      <c r="X120" s="32"/>
      <c r="Y120" s="32"/>
      <c r="Z120" s="32"/>
      <c r="AA120" s="32"/>
      <c r="AB120" s="32"/>
      <c r="AC120" s="32"/>
      <c r="AD120" s="32"/>
      <c r="AE120" s="32"/>
      <c r="AF120" s="32"/>
      <c r="AG120" s="32"/>
      <c r="AH120" s="32"/>
    </row>
    <row r="121">
      <c r="A121" s="72" t="s">
        <v>15</v>
      </c>
      <c r="B121" s="73">
        <f t="shared" si="5"/>
        <v>86.73</v>
      </c>
      <c r="C121" s="74" t="str">
        <f t="shared" si="4"/>
        <v>3</v>
      </c>
      <c r="D121" s="17" t="s">
        <v>326</v>
      </c>
      <c r="E121" s="72">
        <v>3.0</v>
      </c>
      <c r="F121" s="72"/>
      <c r="G121" s="72"/>
      <c r="H121" s="72"/>
      <c r="I121" s="72"/>
      <c r="J121" s="72"/>
      <c r="K121" s="75">
        <v>44.1</v>
      </c>
      <c r="L121" s="72">
        <v>4263.0</v>
      </c>
      <c r="M121" s="72">
        <v>3801.0</v>
      </c>
      <c r="N121" s="76">
        <v>1.75</v>
      </c>
      <c r="O121" s="77">
        <v>0.8631944444444445</v>
      </c>
      <c r="P121" s="75">
        <v>4.2</v>
      </c>
      <c r="Q121" s="75">
        <v>4.8</v>
      </c>
      <c r="R121" s="81" t="s">
        <v>327</v>
      </c>
      <c r="S121" s="79" t="s">
        <v>104</v>
      </c>
      <c r="T121" s="79"/>
      <c r="V121" s="32"/>
      <c r="W121" s="32"/>
      <c r="X121" s="32"/>
      <c r="Y121" s="32"/>
      <c r="Z121" s="32"/>
      <c r="AA121" s="32"/>
      <c r="AB121" s="32"/>
      <c r="AC121" s="32"/>
      <c r="AD121" s="32"/>
      <c r="AE121" s="32"/>
      <c r="AF121" s="32"/>
      <c r="AG121" s="32"/>
      <c r="AH121" s="32"/>
    </row>
    <row r="122">
      <c r="A122" s="72" t="s">
        <v>15</v>
      </c>
      <c r="B122" s="73">
        <f t="shared" si="5"/>
        <v>87.92</v>
      </c>
      <c r="C122" s="74" t="str">
        <f t="shared" si="4"/>
        <v>3</v>
      </c>
      <c r="D122" s="17" t="s">
        <v>328</v>
      </c>
      <c r="E122" s="72">
        <v>2.0</v>
      </c>
      <c r="F122" s="72"/>
      <c r="G122" s="72"/>
      <c r="H122" s="72"/>
      <c r="I122" s="72"/>
      <c r="J122" s="72"/>
      <c r="K122" s="75">
        <v>46.2</v>
      </c>
      <c r="L122" s="72">
        <v>4172.0</v>
      </c>
      <c r="M122" s="72">
        <v>4172.0</v>
      </c>
      <c r="N122" s="76">
        <v>1.3194444444444444</v>
      </c>
      <c r="O122" s="77">
        <v>0.7958333333333333</v>
      </c>
      <c r="P122" s="75">
        <v>4.6</v>
      </c>
      <c r="Q122" s="75">
        <v>4.8</v>
      </c>
      <c r="R122" s="78" t="s">
        <v>329</v>
      </c>
      <c r="S122" s="79" t="s">
        <v>104</v>
      </c>
      <c r="T122" s="79"/>
      <c r="V122" s="32"/>
      <c r="W122" s="32"/>
      <c r="X122" s="32"/>
      <c r="Y122" s="32"/>
      <c r="Z122" s="32"/>
      <c r="AA122" s="32"/>
      <c r="AB122" s="32"/>
      <c r="AC122" s="32"/>
      <c r="AD122" s="32"/>
      <c r="AE122" s="32"/>
      <c r="AF122" s="32"/>
      <c r="AG122" s="32"/>
      <c r="AH122" s="32"/>
    </row>
    <row r="123">
      <c r="A123" s="72" t="s">
        <v>15</v>
      </c>
      <c r="B123" s="73">
        <f t="shared" si="5"/>
        <v>87.5</v>
      </c>
      <c r="C123" s="74" t="str">
        <f t="shared" si="4"/>
        <v>3</v>
      </c>
      <c r="D123" s="17" t="s">
        <v>330</v>
      </c>
      <c r="E123" s="72">
        <v>4.0</v>
      </c>
      <c r="F123" s="72"/>
      <c r="G123" s="72"/>
      <c r="H123" s="72"/>
      <c r="I123" s="72"/>
      <c r="J123" s="72"/>
      <c r="K123" s="75">
        <v>61.0</v>
      </c>
      <c r="L123" s="72">
        <v>2650.0</v>
      </c>
      <c r="M123" s="72">
        <v>2650.0</v>
      </c>
      <c r="N123" s="76">
        <v>1.2465277777777777</v>
      </c>
      <c r="O123" s="77">
        <v>0.5465277777777777</v>
      </c>
      <c r="P123" s="75">
        <v>6.7</v>
      </c>
      <c r="Q123" s="75">
        <v>7.6</v>
      </c>
      <c r="R123" s="78" t="s">
        <v>331</v>
      </c>
      <c r="S123" s="79" t="s">
        <v>171</v>
      </c>
      <c r="T123" s="79"/>
      <c r="V123" s="32"/>
      <c r="W123" s="32"/>
      <c r="X123" s="32"/>
      <c r="Y123" s="32"/>
      <c r="Z123" s="32"/>
      <c r="AA123" s="32"/>
      <c r="AB123" s="32"/>
      <c r="AC123" s="32"/>
      <c r="AD123" s="32"/>
      <c r="AE123" s="32"/>
      <c r="AF123" s="32"/>
      <c r="AG123" s="32"/>
      <c r="AH123" s="32"/>
    </row>
    <row r="124">
      <c r="A124" s="72" t="s">
        <v>15</v>
      </c>
      <c r="B124" s="73">
        <f t="shared" si="5"/>
        <v>88.19</v>
      </c>
      <c r="C124" s="74" t="str">
        <f t="shared" si="4"/>
        <v>3</v>
      </c>
      <c r="D124" s="17" t="s">
        <v>332</v>
      </c>
      <c r="E124" s="72">
        <v>3.0</v>
      </c>
      <c r="F124" s="72"/>
      <c r="G124" s="72"/>
      <c r="H124" s="72"/>
      <c r="I124" s="72"/>
      <c r="J124" s="72"/>
      <c r="K124" s="75">
        <v>48.15</v>
      </c>
      <c r="L124" s="72">
        <v>4004.0</v>
      </c>
      <c r="M124" s="72">
        <v>4004.0</v>
      </c>
      <c r="N124" s="76">
        <v>1.53125</v>
      </c>
      <c r="O124" s="77">
        <v>0.9354166666666667</v>
      </c>
      <c r="P124" s="75">
        <v>3.9</v>
      </c>
      <c r="Q124" s="75">
        <v>4.4</v>
      </c>
      <c r="R124" s="78" t="s">
        <v>333</v>
      </c>
      <c r="S124" s="79" t="s">
        <v>104</v>
      </c>
      <c r="T124" s="79"/>
      <c r="V124" s="32"/>
      <c r="W124" s="32"/>
      <c r="X124" s="32"/>
      <c r="Y124" s="32"/>
      <c r="Z124" s="32"/>
      <c r="AA124" s="32"/>
      <c r="AB124" s="32"/>
      <c r="AC124" s="32"/>
      <c r="AD124" s="32"/>
      <c r="AE124" s="32"/>
      <c r="AF124" s="32"/>
      <c r="AG124" s="32"/>
      <c r="AH124" s="32"/>
    </row>
    <row r="125">
      <c r="A125" s="72" t="s">
        <v>15</v>
      </c>
      <c r="B125" s="73">
        <f t="shared" si="5"/>
        <v>87.79</v>
      </c>
      <c r="C125" s="74" t="str">
        <f t="shared" si="4"/>
        <v>3</v>
      </c>
      <c r="D125" s="17" t="s">
        <v>226</v>
      </c>
      <c r="E125" s="72">
        <v>4.0</v>
      </c>
      <c r="F125" s="72"/>
      <c r="G125" s="72"/>
      <c r="H125" s="72"/>
      <c r="I125" s="72"/>
      <c r="J125" s="72"/>
      <c r="K125" s="75">
        <v>48.25</v>
      </c>
      <c r="L125" s="72">
        <v>3954.0</v>
      </c>
      <c r="M125" s="72">
        <v>3954.0</v>
      </c>
      <c r="N125" s="76">
        <v>1.6076388888888888</v>
      </c>
      <c r="O125" s="77">
        <v>0.9722222222222222</v>
      </c>
      <c r="P125" s="75">
        <v>3.8</v>
      </c>
      <c r="Q125" s="75">
        <v>4.2</v>
      </c>
      <c r="R125" s="78" t="s">
        <v>334</v>
      </c>
      <c r="S125" s="79" t="s">
        <v>226</v>
      </c>
      <c r="T125" s="79" t="s">
        <v>91</v>
      </c>
      <c r="V125" s="32"/>
      <c r="W125" s="32"/>
      <c r="X125" s="32"/>
      <c r="Y125" s="32"/>
      <c r="Z125" s="32"/>
      <c r="AA125" s="32"/>
      <c r="AB125" s="32"/>
      <c r="AC125" s="32"/>
      <c r="AD125" s="32"/>
      <c r="AE125" s="32"/>
      <c r="AF125" s="32"/>
      <c r="AG125" s="32"/>
      <c r="AH125" s="32"/>
    </row>
    <row r="126">
      <c r="A126" s="72" t="s">
        <v>15</v>
      </c>
      <c r="B126" s="73">
        <f t="shared" si="5"/>
        <v>89.05</v>
      </c>
      <c r="C126" s="74" t="str">
        <f t="shared" si="4"/>
        <v>3</v>
      </c>
      <c r="D126" s="82" t="s">
        <v>335</v>
      </c>
      <c r="E126" s="74">
        <v>5.0</v>
      </c>
      <c r="F126" s="74"/>
      <c r="G126" s="74"/>
      <c r="H126" s="74"/>
      <c r="I126" s="74"/>
      <c r="J126" s="74"/>
      <c r="K126" s="83">
        <v>52.3</v>
      </c>
      <c r="L126" s="74">
        <v>3675.0</v>
      </c>
      <c r="M126" s="74">
        <v>6376.0</v>
      </c>
      <c r="N126" s="84">
        <v>2.0833333333333335</v>
      </c>
      <c r="O126" s="74" t="s">
        <v>77</v>
      </c>
      <c r="P126" s="83" t="s">
        <v>77</v>
      </c>
      <c r="Q126" s="83" t="s">
        <v>77</v>
      </c>
      <c r="R126" s="74" t="s">
        <v>77</v>
      </c>
      <c r="S126" s="79" t="s">
        <v>238</v>
      </c>
      <c r="T126" s="79"/>
      <c r="V126" s="32"/>
      <c r="W126" s="32"/>
      <c r="X126" s="32"/>
      <c r="Y126" s="32"/>
      <c r="Z126" s="32"/>
      <c r="AA126" s="32"/>
      <c r="AB126" s="32"/>
      <c r="AC126" s="32"/>
      <c r="AD126" s="32"/>
      <c r="AE126" s="32"/>
      <c r="AF126" s="32"/>
      <c r="AG126" s="32"/>
      <c r="AH126" s="32"/>
    </row>
    <row r="127">
      <c r="A127" s="72" t="s">
        <v>15</v>
      </c>
      <c r="B127" s="73">
        <f t="shared" si="5"/>
        <v>89.08</v>
      </c>
      <c r="C127" s="74" t="str">
        <f t="shared" si="4"/>
        <v>3</v>
      </c>
      <c r="D127" s="17" t="s">
        <v>336</v>
      </c>
      <c r="E127" s="72">
        <v>4.0</v>
      </c>
      <c r="F127" s="72"/>
      <c r="G127" s="72"/>
      <c r="H127" s="72"/>
      <c r="I127" s="72"/>
      <c r="J127" s="72"/>
      <c r="K127" s="75">
        <v>50.25</v>
      </c>
      <c r="L127" s="72">
        <v>3883.0</v>
      </c>
      <c r="M127" s="72">
        <v>3883.0</v>
      </c>
      <c r="N127" s="76">
        <v>1.3923611111111112</v>
      </c>
      <c r="O127" s="77">
        <v>0.9784722222222222</v>
      </c>
      <c r="P127" s="75">
        <v>3.8</v>
      </c>
      <c r="Q127" s="75">
        <v>4.2</v>
      </c>
      <c r="R127" s="85" t="s">
        <v>337</v>
      </c>
      <c r="S127" s="79" t="s">
        <v>95</v>
      </c>
      <c r="T127" s="79"/>
      <c r="V127" s="32"/>
      <c r="W127" s="32"/>
      <c r="X127" s="32"/>
      <c r="Y127" s="32"/>
      <c r="Z127" s="32"/>
      <c r="AA127" s="32"/>
      <c r="AB127" s="32"/>
      <c r="AC127" s="32"/>
      <c r="AD127" s="32"/>
      <c r="AE127" s="32"/>
      <c r="AF127" s="32"/>
      <c r="AG127" s="32"/>
      <c r="AH127" s="32"/>
    </row>
    <row r="128">
      <c r="A128" s="72" t="s">
        <v>15</v>
      </c>
      <c r="B128" s="73">
        <f t="shared" si="5"/>
        <v>90.31</v>
      </c>
      <c r="C128" s="74" t="str">
        <f t="shared" si="4"/>
        <v>3</v>
      </c>
      <c r="D128" s="17" t="s">
        <v>338</v>
      </c>
      <c r="E128" s="72">
        <v>1.0</v>
      </c>
      <c r="F128" s="72"/>
      <c r="G128" s="72"/>
      <c r="H128" s="72"/>
      <c r="I128" s="72"/>
      <c r="J128" s="72"/>
      <c r="K128" s="75">
        <v>58.4</v>
      </c>
      <c r="L128" s="72">
        <v>3191.0</v>
      </c>
      <c r="M128" s="72">
        <v>3191.0</v>
      </c>
      <c r="N128" s="76">
        <v>1.2951388888888888</v>
      </c>
      <c r="O128" s="77">
        <v>0.7777777777777778</v>
      </c>
      <c r="P128" s="75">
        <v>4.8</v>
      </c>
      <c r="Q128" s="75">
        <v>4.8</v>
      </c>
      <c r="R128" s="78" t="s">
        <v>339</v>
      </c>
      <c r="S128" s="79" t="s">
        <v>127</v>
      </c>
      <c r="T128" s="79"/>
      <c r="V128" s="32"/>
      <c r="W128" s="32"/>
      <c r="X128" s="32"/>
      <c r="Y128" s="32"/>
      <c r="Z128" s="32"/>
      <c r="AA128" s="32"/>
      <c r="AB128" s="32"/>
      <c r="AC128" s="32"/>
      <c r="AD128" s="32"/>
      <c r="AE128" s="32"/>
      <c r="AF128" s="32"/>
      <c r="AG128" s="32"/>
      <c r="AH128" s="32"/>
    </row>
    <row r="129">
      <c r="A129" s="72" t="s">
        <v>15</v>
      </c>
      <c r="B129" s="73">
        <f t="shared" si="5"/>
        <v>91.95</v>
      </c>
      <c r="C129" s="74" t="str">
        <f t="shared" si="4"/>
        <v>3</v>
      </c>
      <c r="D129" s="17" t="s">
        <v>340</v>
      </c>
      <c r="E129" s="72">
        <v>0.0</v>
      </c>
      <c r="F129" s="72"/>
      <c r="G129" s="72"/>
      <c r="H129" s="72"/>
      <c r="I129" s="72"/>
      <c r="J129" s="72"/>
      <c r="K129" s="75">
        <v>61.24</v>
      </c>
      <c r="L129" s="72">
        <v>3071.0</v>
      </c>
      <c r="M129" s="72">
        <v>3071.0</v>
      </c>
      <c r="N129" s="76">
        <v>1.58125</v>
      </c>
      <c r="O129" s="77">
        <v>0.9111111111111111</v>
      </c>
      <c r="P129" s="75">
        <v>4.2</v>
      </c>
      <c r="Q129" s="75">
        <v>4.2</v>
      </c>
      <c r="R129" s="78" t="s">
        <v>341</v>
      </c>
      <c r="S129" s="79" t="s">
        <v>342</v>
      </c>
      <c r="T129" s="79"/>
      <c r="V129" s="32"/>
      <c r="W129" s="32"/>
      <c r="X129" s="32"/>
      <c r="Y129" s="32"/>
      <c r="Z129" s="32"/>
      <c r="AA129" s="32"/>
      <c r="AB129" s="32"/>
      <c r="AC129" s="32"/>
      <c r="AD129" s="32"/>
      <c r="AE129" s="32"/>
      <c r="AF129" s="32"/>
      <c r="AG129" s="32"/>
      <c r="AH129" s="32"/>
    </row>
    <row r="130">
      <c r="A130" s="72" t="s">
        <v>15</v>
      </c>
      <c r="B130" s="73">
        <f t="shared" si="5"/>
        <v>92.76</v>
      </c>
      <c r="C130" s="74" t="str">
        <f t="shared" si="4"/>
        <v>3</v>
      </c>
      <c r="D130" s="17" t="s">
        <v>343</v>
      </c>
      <c r="E130" s="72">
        <v>3.0</v>
      </c>
      <c r="F130" s="72"/>
      <c r="G130" s="72"/>
      <c r="H130" s="72"/>
      <c r="I130" s="72"/>
      <c r="J130" s="72"/>
      <c r="K130" s="75">
        <v>52.83</v>
      </c>
      <c r="L130" s="72">
        <v>3993.0</v>
      </c>
      <c r="M130" s="72">
        <v>3993.0</v>
      </c>
      <c r="N130" s="76">
        <v>1.7222222222222223</v>
      </c>
      <c r="O130" s="77">
        <v>0.8201388888888889</v>
      </c>
      <c r="P130" s="75">
        <v>4.7</v>
      </c>
      <c r="Q130" s="75">
        <v>4.7</v>
      </c>
      <c r="R130" s="78" t="s">
        <v>344</v>
      </c>
      <c r="S130" s="79" t="s">
        <v>171</v>
      </c>
      <c r="T130" s="79"/>
      <c r="V130" s="32"/>
      <c r="W130" s="32"/>
      <c r="X130" s="32"/>
      <c r="Y130" s="32"/>
      <c r="Z130" s="32"/>
      <c r="AA130" s="32"/>
      <c r="AB130" s="32"/>
      <c r="AC130" s="32"/>
      <c r="AD130" s="32"/>
      <c r="AE130" s="32"/>
      <c r="AF130" s="32"/>
      <c r="AG130" s="32"/>
      <c r="AH130" s="32"/>
    </row>
    <row r="131">
      <c r="A131" s="72" t="s">
        <v>15</v>
      </c>
      <c r="B131" s="73">
        <f t="shared" si="5"/>
        <v>93.05</v>
      </c>
      <c r="C131" s="74" t="str">
        <f t="shared" si="4"/>
        <v>3</v>
      </c>
      <c r="D131" s="17" t="s">
        <v>345</v>
      </c>
      <c r="E131" s="72">
        <v>4.0</v>
      </c>
      <c r="F131" s="72"/>
      <c r="G131" s="72"/>
      <c r="H131" s="72"/>
      <c r="I131" s="72"/>
      <c r="J131" s="72"/>
      <c r="K131" s="75">
        <v>48.75</v>
      </c>
      <c r="L131" s="72">
        <v>4430.0</v>
      </c>
      <c r="M131" s="72">
        <v>4430.0</v>
      </c>
      <c r="N131" s="76">
        <v>1.4340277777777777</v>
      </c>
      <c r="O131" s="77">
        <v>0.8805555555555555</v>
      </c>
      <c r="P131" s="75">
        <v>4.4</v>
      </c>
      <c r="Q131" s="75">
        <v>4.6</v>
      </c>
      <c r="R131" s="78" t="s">
        <v>346</v>
      </c>
      <c r="S131" s="79" t="s">
        <v>244</v>
      </c>
      <c r="T131" s="79"/>
      <c r="V131" s="32"/>
      <c r="W131" s="32"/>
      <c r="X131" s="32"/>
      <c r="Y131" s="32"/>
      <c r="Z131" s="32"/>
      <c r="AA131" s="32"/>
      <c r="AB131" s="32"/>
      <c r="AC131" s="32"/>
      <c r="AD131" s="32"/>
      <c r="AE131" s="32"/>
      <c r="AF131" s="32"/>
      <c r="AG131" s="32"/>
      <c r="AH131" s="32"/>
    </row>
    <row r="132">
      <c r="A132" s="86" t="s">
        <v>15</v>
      </c>
      <c r="B132" s="73">
        <f t="shared" si="5"/>
        <v>92.52</v>
      </c>
      <c r="C132" s="74" t="str">
        <f t="shared" si="4"/>
        <v>3</v>
      </c>
      <c r="D132" s="17" t="s">
        <v>347</v>
      </c>
      <c r="E132" s="72">
        <v>1.0</v>
      </c>
      <c r="F132" s="72"/>
      <c r="G132" s="72"/>
      <c r="H132" s="72"/>
      <c r="I132" s="72"/>
      <c r="J132" s="72"/>
      <c r="K132" s="75">
        <v>46.5</v>
      </c>
      <c r="L132" s="72">
        <v>4602.0</v>
      </c>
      <c r="M132" s="72">
        <v>4602.0</v>
      </c>
      <c r="N132" s="72" t="s">
        <v>77</v>
      </c>
      <c r="O132" s="72" t="s">
        <v>77</v>
      </c>
      <c r="P132" s="75" t="s">
        <v>77</v>
      </c>
      <c r="Q132" s="75" t="s">
        <v>77</v>
      </c>
      <c r="R132" s="78" t="s">
        <v>348</v>
      </c>
      <c r="S132" s="79" t="s">
        <v>90</v>
      </c>
      <c r="T132" s="79"/>
      <c r="V132" s="32"/>
      <c r="W132" s="32"/>
      <c r="X132" s="32"/>
      <c r="Y132" s="32"/>
      <c r="Z132" s="32"/>
      <c r="AA132" s="32"/>
      <c r="AB132" s="32"/>
      <c r="AC132" s="32"/>
      <c r="AD132" s="32"/>
      <c r="AE132" s="32"/>
      <c r="AF132" s="32"/>
      <c r="AG132" s="32"/>
      <c r="AH132" s="32"/>
    </row>
    <row r="133">
      <c r="A133" s="72" t="s">
        <v>15</v>
      </c>
      <c r="B133" s="73">
        <f t="shared" si="5"/>
        <v>94.02</v>
      </c>
      <c r="C133" s="74" t="str">
        <f t="shared" si="4"/>
        <v>3</v>
      </c>
      <c r="D133" s="17" t="s">
        <v>349</v>
      </c>
      <c r="E133" s="72">
        <v>8.0</v>
      </c>
      <c r="F133" s="72"/>
      <c r="G133" s="72"/>
      <c r="H133" s="72"/>
      <c r="I133" s="72"/>
      <c r="J133" s="72"/>
      <c r="K133" s="75">
        <v>51.9</v>
      </c>
      <c r="L133" s="72">
        <v>4212.0</v>
      </c>
      <c r="M133" s="72">
        <v>4212.0</v>
      </c>
      <c r="N133" s="76">
        <v>1.5451388888888888</v>
      </c>
      <c r="O133" s="72" t="s">
        <v>77</v>
      </c>
      <c r="P133" s="75" t="s">
        <v>77</v>
      </c>
      <c r="Q133" s="75" t="s">
        <v>77</v>
      </c>
      <c r="R133" s="74" t="s">
        <v>77</v>
      </c>
      <c r="S133" s="79" t="s">
        <v>95</v>
      </c>
      <c r="T133" s="79"/>
      <c r="V133" s="32"/>
      <c r="W133" s="32"/>
      <c r="X133" s="32"/>
      <c r="Y133" s="32"/>
      <c r="Z133" s="32"/>
      <c r="AA133" s="32"/>
      <c r="AB133" s="32"/>
      <c r="AC133" s="32"/>
      <c r="AD133" s="32"/>
      <c r="AE133" s="32"/>
      <c r="AF133" s="32"/>
      <c r="AG133" s="32"/>
      <c r="AH133" s="32"/>
    </row>
    <row r="134">
      <c r="A134" s="72" t="s">
        <v>15</v>
      </c>
      <c r="B134" s="73">
        <f t="shared" si="5"/>
        <v>96.3</v>
      </c>
      <c r="C134" s="74" t="str">
        <f t="shared" si="4"/>
        <v>3</v>
      </c>
      <c r="D134" s="17" t="s">
        <v>350</v>
      </c>
      <c r="E134" s="72">
        <v>5.0</v>
      </c>
      <c r="F134" s="72"/>
      <c r="G134" s="72"/>
      <c r="H134" s="72"/>
      <c r="I134" s="72"/>
      <c r="J134" s="72"/>
      <c r="K134" s="75">
        <v>56.5</v>
      </c>
      <c r="L134" s="72">
        <v>3980.0</v>
      </c>
      <c r="M134" s="72">
        <v>4000.0</v>
      </c>
      <c r="N134" s="76">
        <v>1.5458333333333334</v>
      </c>
      <c r="O134" s="77">
        <v>0.5</v>
      </c>
      <c r="P134" s="75">
        <v>8.0</v>
      </c>
      <c r="Q134" s="75">
        <v>8.0</v>
      </c>
      <c r="R134" s="78" t="s">
        <v>351</v>
      </c>
      <c r="S134" s="79" t="s">
        <v>244</v>
      </c>
      <c r="T134" s="79"/>
      <c r="V134" s="32"/>
      <c r="W134" s="32"/>
      <c r="X134" s="32"/>
      <c r="Y134" s="32"/>
      <c r="Z134" s="32"/>
      <c r="AA134" s="32"/>
      <c r="AB134" s="32"/>
      <c r="AC134" s="32"/>
      <c r="AD134" s="32"/>
      <c r="AE134" s="32"/>
      <c r="AF134" s="32"/>
      <c r="AG134" s="32"/>
      <c r="AH134" s="32"/>
    </row>
    <row r="135">
      <c r="A135" s="72" t="s">
        <v>15</v>
      </c>
      <c r="B135" s="73">
        <f t="shared" si="5"/>
        <v>96.83</v>
      </c>
      <c r="C135" s="74" t="str">
        <f t="shared" si="4"/>
        <v>3</v>
      </c>
      <c r="D135" s="17" t="s">
        <v>352</v>
      </c>
      <c r="E135" s="72">
        <v>5.0</v>
      </c>
      <c r="F135" s="72"/>
      <c r="G135" s="72"/>
      <c r="H135" s="72"/>
      <c r="I135" s="72"/>
      <c r="J135" s="72"/>
      <c r="K135" s="75">
        <v>56.1</v>
      </c>
      <c r="L135" s="72">
        <v>4073.0</v>
      </c>
      <c r="M135" s="72">
        <v>4073.0</v>
      </c>
      <c r="N135" s="76">
        <v>1.7347222222222223</v>
      </c>
      <c r="O135" s="77">
        <v>0.89375</v>
      </c>
      <c r="P135" s="75">
        <v>4.5</v>
      </c>
      <c r="Q135" s="75">
        <v>4.5</v>
      </c>
      <c r="R135" s="78" t="s">
        <v>353</v>
      </c>
      <c r="S135" s="79" t="s">
        <v>147</v>
      </c>
      <c r="T135" s="79" t="s">
        <v>91</v>
      </c>
      <c r="V135" s="32"/>
      <c r="W135" s="32"/>
      <c r="X135" s="32"/>
      <c r="Y135" s="32"/>
      <c r="Z135" s="32"/>
      <c r="AA135" s="32"/>
      <c r="AB135" s="32"/>
      <c r="AC135" s="32"/>
      <c r="AD135" s="32"/>
      <c r="AE135" s="32"/>
      <c r="AF135" s="32"/>
      <c r="AG135" s="32"/>
      <c r="AH135" s="32"/>
    </row>
    <row r="136">
      <c r="A136" s="72" t="s">
        <v>15</v>
      </c>
      <c r="B136" s="73">
        <f t="shared" si="5"/>
        <v>97.86</v>
      </c>
      <c r="C136" s="74" t="str">
        <f t="shared" si="4"/>
        <v>3</v>
      </c>
      <c r="D136" s="17" t="s">
        <v>354</v>
      </c>
      <c r="E136" s="72">
        <v>2.0</v>
      </c>
      <c r="F136" s="72"/>
      <c r="G136" s="72"/>
      <c r="H136" s="72"/>
      <c r="I136" s="72"/>
      <c r="J136" s="72"/>
      <c r="K136" s="75">
        <v>60.0</v>
      </c>
      <c r="L136" s="72">
        <v>3786.0</v>
      </c>
      <c r="M136" s="72">
        <v>3786.0</v>
      </c>
      <c r="N136" s="76">
        <v>1.4166666666666667</v>
      </c>
      <c r="O136" s="77">
        <v>0.8375</v>
      </c>
      <c r="P136" s="75">
        <v>4.9</v>
      </c>
      <c r="Q136" s="75">
        <v>5.1</v>
      </c>
      <c r="R136" s="78" t="s">
        <v>355</v>
      </c>
      <c r="S136" s="79" t="s">
        <v>278</v>
      </c>
      <c r="T136" s="79"/>
      <c r="V136" s="32"/>
      <c r="W136" s="32"/>
      <c r="X136" s="32"/>
      <c r="Y136" s="32"/>
      <c r="Z136" s="32"/>
      <c r="AA136" s="32"/>
      <c r="AB136" s="32"/>
      <c r="AC136" s="32"/>
      <c r="AD136" s="32"/>
      <c r="AE136" s="32"/>
      <c r="AF136" s="32"/>
      <c r="AG136" s="32"/>
      <c r="AH136" s="32"/>
    </row>
    <row r="137">
      <c r="A137" s="72" t="s">
        <v>15</v>
      </c>
      <c r="B137" s="73">
        <f t="shared" si="5"/>
        <v>100.18</v>
      </c>
      <c r="C137" s="74" t="str">
        <f t="shared" si="4"/>
        <v>3</v>
      </c>
      <c r="D137" s="17" t="s">
        <v>356</v>
      </c>
      <c r="E137" s="72">
        <v>1.0</v>
      </c>
      <c r="F137" s="72"/>
      <c r="G137" s="72"/>
      <c r="H137" s="72"/>
      <c r="I137" s="72"/>
      <c r="J137" s="72"/>
      <c r="K137" s="75">
        <v>61.83</v>
      </c>
      <c r="L137" s="72">
        <v>3835.0</v>
      </c>
      <c r="M137" s="72">
        <v>3835.0</v>
      </c>
      <c r="N137" s="76">
        <v>1.5833333333333333</v>
      </c>
      <c r="O137" s="80">
        <v>0.7784722222222222</v>
      </c>
      <c r="P137" s="72">
        <v>5.4</v>
      </c>
      <c r="Q137" s="72">
        <v>5.4</v>
      </c>
      <c r="R137" s="78" t="s">
        <v>357</v>
      </c>
      <c r="S137" s="79" t="s">
        <v>171</v>
      </c>
      <c r="T137" s="79"/>
      <c r="V137" s="32"/>
      <c r="W137" s="32"/>
      <c r="X137" s="32"/>
      <c r="Y137" s="32"/>
      <c r="Z137" s="32"/>
      <c r="AA137" s="32"/>
      <c r="AB137" s="32"/>
      <c r="AC137" s="32"/>
      <c r="AD137" s="32"/>
      <c r="AE137" s="32"/>
      <c r="AF137" s="32"/>
      <c r="AG137" s="32"/>
      <c r="AH137" s="32"/>
    </row>
    <row r="138">
      <c r="A138" s="72" t="s">
        <v>15</v>
      </c>
      <c r="B138" s="73">
        <f t="shared" si="5"/>
        <v>101.24</v>
      </c>
      <c r="C138" s="74" t="str">
        <f t="shared" si="4"/>
        <v>3</v>
      </c>
      <c r="D138" s="17" t="s">
        <v>358</v>
      </c>
      <c r="E138" s="72">
        <v>7.0</v>
      </c>
      <c r="F138" s="72"/>
      <c r="G138" s="72"/>
      <c r="H138" s="72"/>
      <c r="I138" s="72"/>
      <c r="J138" s="72"/>
      <c r="K138" s="75">
        <v>52.76</v>
      </c>
      <c r="L138" s="72">
        <v>4848.0</v>
      </c>
      <c r="M138" s="72">
        <v>4848.0</v>
      </c>
      <c r="N138" s="76">
        <v>1.9034722222222222</v>
      </c>
      <c r="O138" s="80">
        <v>0.9791666666666666</v>
      </c>
      <c r="P138" s="72">
        <v>4.5</v>
      </c>
      <c r="Q138" s="72">
        <v>4.5</v>
      </c>
      <c r="R138" s="85" t="s">
        <v>359</v>
      </c>
      <c r="S138" s="79" t="s">
        <v>244</v>
      </c>
      <c r="T138" s="79"/>
      <c r="V138" s="32"/>
      <c r="W138" s="32"/>
      <c r="X138" s="32"/>
      <c r="Y138" s="32"/>
      <c r="Z138" s="32"/>
      <c r="AA138" s="32"/>
      <c r="AB138" s="32"/>
      <c r="AC138" s="32"/>
      <c r="AD138" s="32"/>
      <c r="AE138" s="32"/>
      <c r="AF138" s="32"/>
      <c r="AG138" s="32"/>
      <c r="AH138" s="32"/>
    </row>
    <row r="139">
      <c r="A139" s="72" t="s">
        <v>15</v>
      </c>
      <c r="B139" s="73">
        <f t="shared" si="5"/>
        <v>102.6</v>
      </c>
      <c r="C139" s="74" t="str">
        <f t="shared" si="4"/>
        <v>3</v>
      </c>
      <c r="D139" s="17" t="s">
        <v>360</v>
      </c>
      <c r="E139" s="72">
        <v>1.0</v>
      </c>
      <c r="F139" s="72"/>
      <c r="G139" s="72"/>
      <c r="H139" s="72"/>
      <c r="I139" s="72"/>
      <c r="J139" s="72"/>
      <c r="K139" s="75">
        <v>65.7</v>
      </c>
      <c r="L139" s="72">
        <v>3690.0</v>
      </c>
      <c r="M139" s="72">
        <v>3690.0</v>
      </c>
      <c r="N139" s="76">
        <v>1.7847222222222223</v>
      </c>
      <c r="O139" s="72" t="s">
        <v>77</v>
      </c>
      <c r="P139" s="72" t="s">
        <v>77</v>
      </c>
      <c r="Q139" s="72" t="s">
        <v>77</v>
      </c>
      <c r="R139" s="74" t="s">
        <v>77</v>
      </c>
      <c r="S139" s="79" t="s">
        <v>307</v>
      </c>
      <c r="T139" s="79"/>
      <c r="V139" s="32"/>
      <c r="W139" s="32"/>
      <c r="X139" s="32"/>
      <c r="Y139" s="32"/>
      <c r="Z139" s="32"/>
      <c r="AA139" s="32"/>
      <c r="AB139" s="32"/>
      <c r="AC139" s="32"/>
      <c r="AD139" s="32"/>
      <c r="AE139" s="32"/>
      <c r="AF139" s="32"/>
      <c r="AG139" s="32"/>
      <c r="AH139" s="32"/>
    </row>
    <row r="140">
      <c r="A140" s="72" t="s">
        <v>15</v>
      </c>
      <c r="B140" s="73">
        <f t="shared" si="5"/>
        <v>104.79</v>
      </c>
      <c r="C140" s="74" t="str">
        <f t="shared" si="4"/>
        <v>3</v>
      </c>
      <c r="D140" s="17" t="s">
        <v>361</v>
      </c>
      <c r="E140" s="72">
        <v>5.0</v>
      </c>
      <c r="F140" s="72"/>
      <c r="G140" s="72"/>
      <c r="H140" s="72"/>
      <c r="I140" s="72"/>
      <c r="J140" s="72"/>
      <c r="K140" s="75">
        <v>57.25</v>
      </c>
      <c r="L140" s="72">
        <v>4754.0</v>
      </c>
      <c r="M140" s="72">
        <v>4754.0</v>
      </c>
      <c r="N140" s="76">
        <v>1.9083333333333334</v>
      </c>
      <c r="O140" s="80">
        <v>0.9305555555555556</v>
      </c>
      <c r="P140" s="72">
        <v>4.7</v>
      </c>
      <c r="Q140" s="72">
        <v>4.9</v>
      </c>
      <c r="R140" s="78" t="s">
        <v>362</v>
      </c>
      <c r="S140" s="79" t="s">
        <v>147</v>
      </c>
      <c r="T140" s="79"/>
      <c r="V140" s="32"/>
      <c r="W140" s="32"/>
      <c r="X140" s="32"/>
      <c r="Y140" s="32"/>
      <c r="Z140" s="32"/>
      <c r="AA140" s="32"/>
      <c r="AB140" s="32"/>
      <c r="AC140" s="32"/>
      <c r="AD140" s="32"/>
      <c r="AE140" s="32"/>
      <c r="AF140" s="32"/>
      <c r="AG140" s="32"/>
      <c r="AH140" s="32"/>
    </row>
    <row r="141">
      <c r="A141" s="72" t="s">
        <v>15</v>
      </c>
      <c r="B141" s="73">
        <f t="shared" si="5"/>
        <v>106.61</v>
      </c>
      <c r="C141" s="74" t="str">
        <f t="shared" si="4"/>
        <v>3</v>
      </c>
      <c r="D141" s="17" t="s">
        <v>363</v>
      </c>
      <c r="E141" s="72">
        <v>1.0</v>
      </c>
      <c r="F141" s="72"/>
      <c r="G141" s="72"/>
      <c r="H141" s="72"/>
      <c r="I141" s="72"/>
      <c r="J141" s="72"/>
      <c r="K141" s="75">
        <v>53.8</v>
      </c>
      <c r="L141" s="72">
        <v>5281.0</v>
      </c>
      <c r="M141" s="72">
        <v>5265.0</v>
      </c>
      <c r="N141" s="76">
        <v>1.7326388888888888</v>
      </c>
      <c r="O141" s="80">
        <v>0.9736111111111111</v>
      </c>
      <c r="P141" s="72">
        <v>4.5</v>
      </c>
      <c r="Q141" s="72">
        <v>5.0</v>
      </c>
      <c r="R141" s="81" t="s">
        <v>364</v>
      </c>
      <c r="S141" s="79" t="s">
        <v>244</v>
      </c>
      <c r="T141" s="79"/>
      <c r="V141" s="32"/>
      <c r="W141" s="32"/>
      <c r="X141" s="32"/>
      <c r="Y141" s="32"/>
      <c r="Z141" s="32"/>
      <c r="AA141" s="32"/>
      <c r="AB141" s="32"/>
      <c r="AC141" s="32"/>
      <c r="AD141" s="32"/>
      <c r="AE141" s="32"/>
      <c r="AF141" s="32"/>
      <c r="AG141" s="32"/>
      <c r="AH141" s="32"/>
    </row>
    <row r="142">
      <c r="A142" s="72" t="s">
        <v>15</v>
      </c>
      <c r="B142" s="73">
        <f t="shared" si="5"/>
        <v>107.33</v>
      </c>
      <c r="C142" s="74" t="str">
        <f t="shared" si="4"/>
        <v>3</v>
      </c>
      <c r="D142" s="17" t="s">
        <v>365</v>
      </c>
      <c r="E142" s="72">
        <v>3.0</v>
      </c>
      <c r="F142" s="72"/>
      <c r="G142" s="72"/>
      <c r="H142" s="72"/>
      <c r="I142" s="72"/>
      <c r="J142" s="72"/>
      <c r="K142" s="75">
        <v>60.8</v>
      </c>
      <c r="L142" s="72">
        <v>4653.0</v>
      </c>
      <c r="M142" s="72">
        <v>4653.0</v>
      </c>
      <c r="N142" s="72" t="s">
        <v>77</v>
      </c>
      <c r="O142" s="72" t="s">
        <v>77</v>
      </c>
      <c r="P142" s="72" t="s">
        <v>77</v>
      </c>
      <c r="Q142" s="72" t="s">
        <v>77</v>
      </c>
      <c r="R142" s="81" t="s">
        <v>366</v>
      </c>
      <c r="S142" s="79" t="s">
        <v>86</v>
      </c>
      <c r="T142" s="79"/>
      <c r="V142" s="32"/>
      <c r="W142" s="32"/>
      <c r="X142" s="32"/>
      <c r="Y142" s="32"/>
      <c r="Z142" s="32"/>
      <c r="AA142" s="32"/>
      <c r="AB142" s="32"/>
      <c r="AC142" s="32"/>
      <c r="AD142" s="32"/>
      <c r="AE142" s="32"/>
      <c r="AF142" s="32"/>
      <c r="AG142" s="32"/>
      <c r="AH142" s="32"/>
    </row>
    <row r="143">
      <c r="A143" s="72" t="s">
        <v>15</v>
      </c>
      <c r="B143" s="73">
        <f t="shared" si="5"/>
        <v>107.65</v>
      </c>
      <c r="C143" s="74" t="str">
        <f t="shared" si="4"/>
        <v>3</v>
      </c>
      <c r="D143" s="17" t="s">
        <v>367</v>
      </c>
      <c r="E143" s="72">
        <v>2.0</v>
      </c>
      <c r="F143" s="72"/>
      <c r="G143" s="72"/>
      <c r="H143" s="72"/>
      <c r="I143" s="72"/>
      <c r="J143" s="72"/>
      <c r="K143" s="75">
        <v>56.1</v>
      </c>
      <c r="L143" s="72">
        <v>5155.0</v>
      </c>
      <c r="M143" s="72">
        <v>5155.0</v>
      </c>
      <c r="N143" s="72" t="s">
        <v>77</v>
      </c>
      <c r="O143" s="72" t="s">
        <v>77</v>
      </c>
      <c r="P143" s="72" t="s">
        <v>77</v>
      </c>
      <c r="Q143" s="72" t="s">
        <v>77</v>
      </c>
      <c r="R143" s="81" t="s">
        <v>368</v>
      </c>
      <c r="S143" s="79" t="s">
        <v>86</v>
      </c>
      <c r="T143" s="79"/>
      <c r="V143" s="32"/>
      <c r="W143" s="32"/>
      <c r="X143" s="32"/>
      <c r="Y143" s="32"/>
      <c r="Z143" s="32"/>
      <c r="AA143" s="32"/>
      <c r="AB143" s="32"/>
      <c r="AC143" s="32"/>
      <c r="AD143" s="32"/>
      <c r="AE143" s="32"/>
      <c r="AF143" s="32"/>
      <c r="AG143" s="32"/>
      <c r="AH143" s="32"/>
    </row>
    <row r="144">
      <c r="A144" s="72" t="s">
        <v>15</v>
      </c>
      <c r="B144" s="73">
        <f t="shared" si="5"/>
        <v>109.04</v>
      </c>
      <c r="C144" s="74" t="str">
        <f t="shared" si="4"/>
        <v>3</v>
      </c>
      <c r="D144" s="17" t="s">
        <v>278</v>
      </c>
      <c r="E144" s="72">
        <v>3.0</v>
      </c>
      <c r="F144" s="72"/>
      <c r="G144" s="72"/>
      <c r="H144" s="72"/>
      <c r="I144" s="72"/>
      <c r="J144" s="72"/>
      <c r="K144" s="75">
        <v>66.61</v>
      </c>
      <c r="L144" s="72">
        <v>4243.0</v>
      </c>
      <c r="M144" s="72">
        <v>4243.0</v>
      </c>
      <c r="N144" s="76">
        <v>1.5694444444444444</v>
      </c>
      <c r="O144" s="80">
        <v>0.9090277777777778</v>
      </c>
      <c r="P144" s="75">
        <v>5.0</v>
      </c>
      <c r="Q144" s="75">
        <v>5.0</v>
      </c>
      <c r="R144" s="78" t="s">
        <v>369</v>
      </c>
      <c r="S144" s="79" t="s">
        <v>278</v>
      </c>
      <c r="T144" s="79"/>
      <c r="V144" s="32"/>
      <c r="W144" s="32"/>
      <c r="X144" s="32"/>
      <c r="Y144" s="32"/>
      <c r="Z144" s="32"/>
      <c r="AA144" s="32"/>
      <c r="AB144" s="32"/>
      <c r="AC144" s="32"/>
      <c r="AD144" s="32"/>
      <c r="AE144" s="32"/>
      <c r="AF144" s="32"/>
      <c r="AG144" s="32"/>
      <c r="AH144" s="32"/>
    </row>
    <row r="145">
      <c r="A145" s="72" t="s">
        <v>15</v>
      </c>
      <c r="B145" s="73">
        <f t="shared" si="5"/>
        <v>108.52</v>
      </c>
      <c r="C145" s="74" t="str">
        <f t="shared" si="4"/>
        <v>3</v>
      </c>
      <c r="D145" s="17" t="s">
        <v>370</v>
      </c>
      <c r="E145" s="72">
        <v>2.0</v>
      </c>
      <c r="F145" s="72"/>
      <c r="G145" s="72"/>
      <c r="H145" s="72"/>
      <c r="I145" s="72"/>
      <c r="J145" s="72"/>
      <c r="K145" s="75">
        <v>66.17</v>
      </c>
      <c r="L145" s="72">
        <v>4235.0</v>
      </c>
      <c r="M145" s="72">
        <v>4235.0</v>
      </c>
      <c r="N145" s="76">
        <v>1.5972222222222223</v>
      </c>
      <c r="O145" s="80">
        <v>0.8916666666666667</v>
      </c>
      <c r="P145" s="75">
        <v>5.1</v>
      </c>
      <c r="Q145" s="75">
        <v>5.7</v>
      </c>
      <c r="R145" s="78" t="s">
        <v>371</v>
      </c>
      <c r="S145" s="79" t="s">
        <v>372</v>
      </c>
      <c r="T145" s="79"/>
      <c r="V145" s="32"/>
      <c r="W145" s="32"/>
      <c r="X145" s="32"/>
      <c r="Y145" s="32"/>
      <c r="Z145" s="32"/>
      <c r="AA145" s="32"/>
      <c r="AB145" s="32"/>
      <c r="AC145" s="32"/>
      <c r="AD145" s="32"/>
      <c r="AE145" s="32"/>
      <c r="AF145" s="32"/>
      <c r="AG145" s="32"/>
      <c r="AH145" s="32"/>
    </row>
    <row r="146">
      <c r="A146" s="72" t="s">
        <v>15</v>
      </c>
      <c r="B146" s="73">
        <f t="shared" si="5"/>
        <v>109</v>
      </c>
      <c r="C146" s="74" t="str">
        <f t="shared" si="4"/>
        <v>3</v>
      </c>
      <c r="D146" s="17" t="s">
        <v>82</v>
      </c>
      <c r="E146" s="72">
        <v>5.0</v>
      </c>
      <c r="F146" s="72"/>
      <c r="G146" s="72"/>
      <c r="H146" s="72"/>
      <c r="I146" s="72"/>
      <c r="J146" s="72"/>
      <c r="K146" s="75">
        <v>58.0</v>
      </c>
      <c r="L146" s="72">
        <v>5100.0</v>
      </c>
      <c r="M146" s="72">
        <v>5100.0</v>
      </c>
      <c r="N146" s="76">
        <v>2.0972222222222223</v>
      </c>
      <c r="O146" s="80">
        <v>0.8958333333333334</v>
      </c>
      <c r="P146" s="75">
        <v>5.1</v>
      </c>
      <c r="Q146" s="75">
        <v>5.1</v>
      </c>
      <c r="R146" s="74" t="s">
        <v>77</v>
      </c>
      <c r="S146" s="79" t="s">
        <v>82</v>
      </c>
      <c r="T146" s="79"/>
      <c r="V146" s="32"/>
      <c r="W146" s="32"/>
      <c r="X146" s="32"/>
      <c r="Y146" s="32"/>
      <c r="Z146" s="32"/>
      <c r="AA146" s="32"/>
      <c r="AB146" s="32"/>
      <c r="AC146" s="32"/>
      <c r="AD146" s="32"/>
      <c r="AE146" s="32"/>
      <c r="AF146" s="32"/>
      <c r="AG146" s="32"/>
      <c r="AH146" s="32"/>
    </row>
    <row r="147">
      <c r="A147" s="72" t="s">
        <v>15</v>
      </c>
      <c r="B147" s="73">
        <f t="shared" si="5"/>
        <v>109.69</v>
      </c>
      <c r="C147" s="74" t="str">
        <f t="shared" si="4"/>
        <v>3</v>
      </c>
      <c r="D147" s="17" t="s">
        <v>373</v>
      </c>
      <c r="E147" s="72">
        <v>1.0</v>
      </c>
      <c r="F147" s="72"/>
      <c r="G147" s="72"/>
      <c r="H147" s="72"/>
      <c r="I147" s="72"/>
      <c r="J147" s="72"/>
      <c r="K147" s="75">
        <v>68.9</v>
      </c>
      <c r="L147" s="72">
        <v>4079.0</v>
      </c>
      <c r="M147" s="72">
        <v>4079.0</v>
      </c>
      <c r="N147" s="76">
        <v>1.9861111111111112</v>
      </c>
      <c r="O147" s="80">
        <v>0.7451388888888889</v>
      </c>
      <c r="P147" s="75">
        <v>6.1</v>
      </c>
      <c r="Q147" s="75">
        <v>6.1</v>
      </c>
      <c r="R147" s="78" t="s">
        <v>374</v>
      </c>
      <c r="S147" s="79" t="s">
        <v>171</v>
      </c>
      <c r="T147" s="79"/>
      <c r="V147" s="32"/>
      <c r="W147" s="32"/>
      <c r="X147" s="32"/>
      <c r="Y147" s="32"/>
      <c r="Z147" s="32"/>
      <c r="AA147" s="32"/>
      <c r="AB147" s="32"/>
      <c r="AC147" s="32"/>
      <c r="AD147" s="32"/>
      <c r="AE147" s="32"/>
      <c r="AF147" s="32"/>
      <c r="AG147" s="32"/>
      <c r="AH147" s="32"/>
    </row>
    <row r="148">
      <c r="A148" s="72" t="s">
        <v>15</v>
      </c>
      <c r="B148" s="73">
        <f t="shared" si="5"/>
        <v>107</v>
      </c>
      <c r="C148" s="74" t="str">
        <f t="shared" si="4"/>
        <v>3</v>
      </c>
      <c r="D148" s="87" t="s">
        <v>375</v>
      </c>
      <c r="E148" s="79">
        <v>1.0</v>
      </c>
      <c r="F148" s="79"/>
      <c r="G148" s="79"/>
      <c r="H148" s="79"/>
      <c r="I148" s="79"/>
      <c r="J148" s="79"/>
      <c r="K148" s="88">
        <v>69.0</v>
      </c>
      <c r="L148" s="79">
        <v>3800.0</v>
      </c>
      <c r="M148" s="79">
        <v>3800.0</v>
      </c>
      <c r="N148" s="72" t="s">
        <v>77</v>
      </c>
      <c r="O148" s="89">
        <v>1.051388888888889</v>
      </c>
      <c r="P148" s="88">
        <v>4.6</v>
      </c>
      <c r="Q148" s="88">
        <v>4.6</v>
      </c>
      <c r="R148" s="81" t="s">
        <v>376</v>
      </c>
      <c r="S148" s="74" t="s">
        <v>86</v>
      </c>
      <c r="T148" s="90"/>
      <c r="V148" s="32"/>
      <c r="W148" s="32"/>
      <c r="X148" s="32"/>
      <c r="Y148" s="32"/>
      <c r="Z148" s="32"/>
      <c r="AA148" s="32"/>
      <c r="AB148" s="32"/>
      <c r="AC148" s="32"/>
      <c r="AD148" s="32"/>
      <c r="AE148" s="32"/>
      <c r="AF148" s="32"/>
      <c r="AG148" s="32"/>
      <c r="AH148" s="32"/>
    </row>
    <row r="149">
      <c r="A149" s="91" t="s">
        <v>17</v>
      </c>
      <c r="B149" s="92">
        <f t="shared" si="5"/>
        <v>118.22</v>
      </c>
      <c r="C149" s="91" t="str">
        <f t="shared" si="4"/>
        <v>4</v>
      </c>
      <c r="D149" s="19" t="s">
        <v>377</v>
      </c>
      <c r="E149" s="91">
        <v>1.0</v>
      </c>
      <c r="F149" s="91"/>
      <c r="G149" s="91"/>
      <c r="H149" s="91"/>
      <c r="I149" s="91"/>
      <c r="J149" s="91"/>
      <c r="K149" s="93">
        <v>75.55</v>
      </c>
      <c r="L149" s="91">
        <v>4267.0</v>
      </c>
      <c r="M149" s="91">
        <v>4267.0</v>
      </c>
      <c r="N149" s="94">
        <v>1.7756944444444445</v>
      </c>
      <c r="O149" s="95">
        <v>0.9743055555555555</v>
      </c>
      <c r="P149" s="93">
        <v>5.1</v>
      </c>
      <c r="Q149" s="93">
        <v>5.2</v>
      </c>
      <c r="R149" s="96" t="s">
        <v>378</v>
      </c>
      <c r="S149" s="97" t="s">
        <v>379</v>
      </c>
      <c r="T149" s="90"/>
      <c r="V149" s="32"/>
      <c r="W149" s="32"/>
      <c r="X149" s="32"/>
      <c r="Y149" s="32"/>
      <c r="Z149" s="32"/>
      <c r="AA149" s="32"/>
      <c r="AB149" s="32"/>
      <c r="AC149" s="32"/>
      <c r="AD149" s="32"/>
      <c r="AE149" s="32"/>
      <c r="AF149" s="32"/>
      <c r="AG149" s="32"/>
      <c r="AH149" s="32"/>
    </row>
    <row r="150">
      <c r="A150" s="91" t="s">
        <v>17</v>
      </c>
      <c r="B150" s="92">
        <f t="shared" si="5"/>
        <v>120.13</v>
      </c>
      <c r="C150" s="91" t="str">
        <f t="shared" si="4"/>
        <v>4</v>
      </c>
      <c r="D150" s="19" t="s">
        <v>380</v>
      </c>
      <c r="E150" s="91">
        <v>2.0</v>
      </c>
      <c r="F150" s="91"/>
      <c r="G150" s="91"/>
      <c r="H150" s="91"/>
      <c r="I150" s="91"/>
      <c r="J150" s="91"/>
      <c r="K150" s="93">
        <v>69.24</v>
      </c>
      <c r="L150" s="91">
        <v>5089.0</v>
      </c>
      <c r="M150" s="91">
        <v>5089.0</v>
      </c>
      <c r="N150" s="91" t="s">
        <v>77</v>
      </c>
      <c r="O150" s="98">
        <v>1.117361111111111</v>
      </c>
      <c r="P150" s="91">
        <v>4.5</v>
      </c>
      <c r="Q150" s="91">
        <v>4.8</v>
      </c>
      <c r="R150" s="99" t="s">
        <v>381</v>
      </c>
      <c r="S150" s="97" t="s">
        <v>382</v>
      </c>
      <c r="T150" s="90"/>
      <c r="V150" s="32"/>
      <c r="W150" s="32"/>
      <c r="X150" s="32"/>
      <c r="Y150" s="32"/>
      <c r="Z150" s="32"/>
      <c r="AA150" s="32"/>
      <c r="AB150" s="32"/>
      <c r="AC150" s="32"/>
      <c r="AD150" s="32"/>
      <c r="AE150" s="32"/>
      <c r="AF150" s="32"/>
      <c r="AG150" s="32"/>
      <c r="AH150" s="32"/>
    </row>
    <row r="151">
      <c r="A151" s="91" t="s">
        <v>17</v>
      </c>
      <c r="B151" s="92">
        <f t="shared" si="5"/>
        <v>120.83</v>
      </c>
      <c r="C151" s="91" t="str">
        <f t="shared" si="4"/>
        <v>4</v>
      </c>
      <c r="D151" s="19" t="s">
        <v>95</v>
      </c>
      <c r="E151" s="91">
        <v>9.0</v>
      </c>
      <c r="F151" s="91"/>
      <c r="G151" s="91"/>
      <c r="H151" s="91"/>
      <c r="I151" s="91"/>
      <c r="J151" s="91"/>
      <c r="K151" s="93">
        <v>61.2</v>
      </c>
      <c r="L151" s="91">
        <v>5963.0</v>
      </c>
      <c r="M151" s="91">
        <v>5963.0</v>
      </c>
      <c r="N151" s="94">
        <v>1.8541666666666667</v>
      </c>
      <c r="O151" s="100">
        <v>0.8631944444444445</v>
      </c>
      <c r="P151" s="91">
        <v>5.9</v>
      </c>
      <c r="Q151" s="91">
        <v>5.9</v>
      </c>
      <c r="R151" s="101" t="s">
        <v>383</v>
      </c>
      <c r="S151" s="97" t="s">
        <v>95</v>
      </c>
      <c r="T151" s="90"/>
      <c r="V151" s="32"/>
      <c r="W151" s="32"/>
      <c r="X151" s="32"/>
      <c r="Y151" s="32"/>
      <c r="Z151" s="32"/>
      <c r="AA151" s="32"/>
      <c r="AB151" s="32"/>
      <c r="AC151" s="32"/>
      <c r="AD151" s="32"/>
      <c r="AE151" s="32"/>
      <c r="AF151" s="32"/>
      <c r="AG151" s="32"/>
      <c r="AH151" s="32"/>
    </row>
    <row r="152">
      <c r="A152" s="91" t="s">
        <v>17</v>
      </c>
      <c r="B152" s="92">
        <f t="shared" si="5"/>
        <v>126.35</v>
      </c>
      <c r="C152" s="91" t="str">
        <f t="shared" si="4"/>
        <v>4</v>
      </c>
      <c r="D152" s="19" t="s">
        <v>307</v>
      </c>
      <c r="E152" s="91">
        <v>6.0</v>
      </c>
      <c r="F152" s="91"/>
      <c r="G152" s="91"/>
      <c r="H152" s="91"/>
      <c r="I152" s="91"/>
      <c r="J152" s="91"/>
      <c r="K152" s="93">
        <v>77.7</v>
      </c>
      <c r="L152" s="91">
        <v>4865.0</v>
      </c>
      <c r="M152" s="91" t="s">
        <v>77</v>
      </c>
      <c r="N152" s="94">
        <v>2.013888888888889</v>
      </c>
      <c r="O152" s="94">
        <v>1.1493055555555556</v>
      </c>
      <c r="P152" s="93">
        <f>B152/27.5</f>
        <v>4.594545455</v>
      </c>
      <c r="Q152" s="91">
        <v>4.5</v>
      </c>
      <c r="R152" s="101" t="s">
        <v>384</v>
      </c>
      <c r="S152" s="97" t="s">
        <v>307</v>
      </c>
      <c r="T152" s="90"/>
      <c r="V152" s="32"/>
      <c r="W152" s="32"/>
      <c r="X152" s="32"/>
      <c r="Y152" s="32"/>
      <c r="Z152" s="32"/>
      <c r="AA152" s="32"/>
      <c r="AB152" s="32"/>
      <c r="AC152" s="32"/>
      <c r="AD152" s="32"/>
      <c r="AE152" s="32"/>
      <c r="AF152" s="32"/>
      <c r="AG152" s="32"/>
      <c r="AH152" s="32"/>
    </row>
    <row r="153">
      <c r="A153" s="91" t="s">
        <v>17</v>
      </c>
      <c r="B153" s="92">
        <f t="shared" si="5"/>
        <v>129.44</v>
      </c>
      <c r="C153" s="91" t="str">
        <f t="shared" si="4"/>
        <v>4</v>
      </c>
      <c r="D153" s="19" t="s">
        <v>385</v>
      </c>
      <c r="E153" s="91">
        <v>8.0</v>
      </c>
      <c r="F153" s="91"/>
      <c r="G153" s="91"/>
      <c r="H153" s="91"/>
      <c r="I153" s="91"/>
      <c r="J153" s="91"/>
      <c r="K153" s="93">
        <v>60.7</v>
      </c>
      <c r="L153" s="91">
        <v>6874.0</v>
      </c>
      <c r="M153" s="91" t="s">
        <v>77</v>
      </c>
      <c r="N153" s="94">
        <v>2.2263888888888888</v>
      </c>
      <c r="O153" s="94">
        <v>0.9381944444444444</v>
      </c>
      <c r="P153" s="93">
        <v>5.7</v>
      </c>
      <c r="Q153" s="91">
        <v>5.7</v>
      </c>
      <c r="R153" s="101" t="s">
        <v>386</v>
      </c>
      <c r="S153" s="97" t="s">
        <v>244</v>
      </c>
      <c r="T153" s="90"/>
      <c r="V153" s="32"/>
      <c r="W153" s="32"/>
      <c r="X153" s="32"/>
      <c r="Y153" s="32"/>
      <c r="Z153" s="32"/>
      <c r="AA153" s="32"/>
      <c r="AB153" s="32"/>
      <c r="AC153" s="32"/>
      <c r="AD153" s="32"/>
      <c r="AE153" s="32"/>
      <c r="AF153" s="32"/>
      <c r="AG153" s="32"/>
      <c r="AH153" s="32"/>
    </row>
    <row r="154">
      <c r="A154" s="91" t="s">
        <v>17</v>
      </c>
      <c r="B154" s="92">
        <f t="shared" si="5"/>
        <v>132.98</v>
      </c>
      <c r="C154" s="91" t="str">
        <f t="shared" si="4"/>
        <v>4</v>
      </c>
      <c r="D154" s="19" t="s">
        <v>387</v>
      </c>
      <c r="E154" s="91">
        <v>5.0</v>
      </c>
      <c r="F154" s="91"/>
      <c r="G154" s="91"/>
      <c r="H154" s="91"/>
      <c r="I154" s="91"/>
      <c r="J154" s="91"/>
      <c r="K154" s="93">
        <v>70.3</v>
      </c>
      <c r="L154" s="91">
        <v>6268.0</v>
      </c>
      <c r="M154" s="91" t="s">
        <v>77</v>
      </c>
      <c r="N154" s="91" t="s">
        <v>77</v>
      </c>
      <c r="O154" s="94">
        <v>1.4215277777777777</v>
      </c>
      <c r="P154" s="91" t="s">
        <v>77</v>
      </c>
      <c r="Q154" s="91" t="s">
        <v>77</v>
      </c>
      <c r="R154" s="101" t="s">
        <v>388</v>
      </c>
      <c r="S154" s="97" t="s">
        <v>372</v>
      </c>
      <c r="T154" s="90"/>
      <c r="V154" s="32"/>
      <c r="W154" s="32"/>
      <c r="X154" s="32"/>
      <c r="Y154" s="32"/>
      <c r="Z154" s="32"/>
      <c r="AA154" s="32"/>
      <c r="AB154" s="32"/>
      <c r="AC154" s="32"/>
      <c r="AD154" s="32"/>
      <c r="AE154" s="32"/>
      <c r="AF154" s="32"/>
      <c r="AG154" s="32"/>
      <c r="AH154" s="32"/>
    </row>
    <row r="155">
      <c r="A155" s="91" t="s">
        <v>17</v>
      </c>
      <c r="B155" s="92">
        <f t="shared" si="5"/>
        <v>132.91</v>
      </c>
      <c r="C155" s="91" t="str">
        <f t="shared" si="4"/>
        <v>4</v>
      </c>
      <c r="D155" s="19" t="s">
        <v>389</v>
      </c>
      <c r="E155" s="91">
        <v>1.0</v>
      </c>
      <c r="F155" s="91"/>
      <c r="G155" s="91"/>
      <c r="H155" s="91"/>
      <c r="I155" s="91"/>
      <c r="J155" s="91"/>
      <c r="K155" s="93">
        <v>95.37</v>
      </c>
      <c r="L155" s="91">
        <v>3754.0</v>
      </c>
      <c r="M155" s="91" t="s">
        <v>77</v>
      </c>
      <c r="N155" s="94">
        <v>1.5263888888888888</v>
      </c>
      <c r="O155" s="94">
        <v>0.8465277777777778</v>
      </c>
      <c r="P155" s="91">
        <v>6.9</v>
      </c>
      <c r="Q155" s="91">
        <v>6.9</v>
      </c>
      <c r="R155" s="101" t="s">
        <v>390</v>
      </c>
      <c r="S155" s="97" t="s">
        <v>175</v>
      </c>
      <c r="T155" s="90"/>
      <c r="V155" s="32"/>
      <c r="W155" s="32"/>
      <c r="X155" s="32"/>
      <c r="Y155" s="32"/>
      <c r="Z155" s="32"/>
      <c r="AA155" s="32"/>
      <c r="AB155" s="32"/>
      <c r="AC155" s="32"/>
      <c r="AD155" s="32"/>
      <c r="AE155" s="32"/>
      <c r="AF155" s="32"/>
      <c r="AG155" s="32"/>
      <c r="AH155" s="32"/>
    </row>
    <row r="156">
      <c r="A156" s="91" t="s">
        <v>17</v>
      </c>
      <c r="B156" s="92">
        <f t="shared" si="5"/>
        <v>135</v>
      </c>
      <c r="C156" s="91" t="str">
        <f t="shared" si="4"/>
        <v>4</v>
      </c>
      <c r="D156" s="19" t="s">
        <v>391</v>
      </c>
      <c r="E156" s="91">
        <v>1.0</v>
      </c>
      <c r="F156" s="91"/>
      <c r="G156" s="91"/>
      <c r="H156" s="91"/>
      <c r="I156" s="91"/>
      <c r="J156" s="91"/>
      <c r="K156" s="93">
        <v>85.0</v>
      </c>
      <c r="L156" s="91">
        <v>5000.0</v>
      </c>
      <c r="M156" s="91">
        <v>5000.0</v>
      </c>
      <c r="N156" s="94">
        <v>2.142361111111111</v>
      </c>
      <c r="O156" s="91" t="s">
        <v>77</v>
      </c>
      <c r="P156" s="91" t="s">
        <v>77</v>
      </c>
      <c r="Q156" s="91" t="s">
        <v>77</v>
      </c>
      <c r="R156" s="97" t="s">
        <v>77</v>
      </c>
      <c r="S156" s="97" t="s">
        <v>372</v>
      </c>
      <c r="T156" s="90"/>
      <c r="V156" s="32"/>
      <c r="W156" s="32"/>
      <c r="X156" s="32"/>
      <c r="Y156" s="32"/>
      <c r="Z156" s="32"/>
      <c r="AA156" s="32"/>
      <c r="AB156" s="32"/>
      <c r="AC156" s="32"/>
      <c r="AD156" s="32"/>
      <c r="AE156" s="32"/>
      <c r="AF156" s="32"/>
      <c r="AG156" s="32"/>
      <c r="AH156" s="32"/>
    </row>
    <row r="157">
      <c r="A157" s="91" t="s">
        <v>17</v>
      </c>
      <c r="B157" s="92">
        <f t="shared" si="5"/>
        <v>135.58</v>
      </c>
      <c r="C157" s="91" t="str">
        <f t="shared" si="4"/>
        <v>4</v>
      </c>
      <c r="D157" s="19" t="s">
        <v>392</v>
      </c>
      <c r="E157" s="91">
        <v>0.0</v>
      </c>
      <c r="F157" s="91"/>
      <c r="G157" s="91"/>
      <c r="H157" s="91"/>
      <c r="I157" s="91"/>
      <c r="J157" s="91"/>
      <c r="K157" s="93">
        <v>96.5</v>
      </c>
      <c r="L157" s="91">
        <v>3908.0</v>
      </c>
      <c r="M157" s="91">
        <v>3908.0</v>
      </c>
      <c r="N157" s="91" t="s">
        <v>77</v>
      </c>
      <c r="O157" s="100">
        <v>0.9965277777777778</v>
      </c>
      <c r="P157" s="91" t="s">
        <v>77</v>
      </c>
      <c r="Q157" s="91" t="s">
        <v>77</v>
      </c>
      <c r="R157" s="97" t="s">
        <v>77</v>
      </c>
      <c r="S157" s="97" t="s">
        <v>86</v>
      </c>
      <c r="T157" s="90"/>
      <c r="V157" s="32"/>
      <c r="W157" s="32"/>
      <c r="X157" s="32"/>
      <c r="Y157" s="32"/>
      <c r="Z157" s="32"/>
      <c r="AA157" s="32"/>
      <c r="AB157" s="32"/>
      <c r="AC157" s="32"/>
      <c r="AD157" s="32"/>
      <c r="AE157" s="32"/>
      <c r="AF157" s="32"/>
      <c r="AG157" s="32"/>
      <c r="AH157" s="32"/>
    </row>
    <row r="158">
      <c r="A158" s="91" t="s">
        <v>17</v>
      </c>
      <c r="B158" s="92">
        <f t="shared" si="5"/>
        <v>137.7</v>
      </c>
      <c r="C158" s="91" t="str">
        <f t="shared" si="4"/>
        <v>4</v>
      </c>
      <c r="D158" s="19" t="s">
        <v>393</v>
      </c>
      <c r="E158" s="91">
        <v>1.0</v>
      </c>
      <c r="F158" s="91"/>
      <c r="G158" s="91"/>
      <c r="H158" s="91"/>
      <c r="I158" s="91"/>
      <c r="J158" s="91"/>
      <c r="K158" s="93">
        <v>66.6</v>
      </c>
      <c r="L158" s="91">
        <v>7110.0</v>
      </c>
      <c r="M158" s="91">
        <v>7110.0</v>
      </c>
      <c r="N158" s="94">
        <v>2.2604166666666665</v>
      </c>
      <c r="O158" s="95">
        <v>0.8201388888888889</v>
      </c>
      <c r="P158" s="93">
        <f>66.6/(19+(41/60))</f>
        <v>3.383573243</v>
      </c>
      <c r="Q158" s="93">
        <v>3.4</v>
      </c>
      <c r="R158" s="101" t="s">
        <v>394</v>
      </c>
      <c r="S158" s="97" t="s">
        <v>175</v>
      </c>
      <c r="T158" s="90"/>
      <c r="V158" s="32"/>
      <c r="W158" s="32"/>
      <c r="X158" s="32"/>
      <c r="Y158" s="32"/>
      <c r="Z158" s="32"/>
      <c r="AA158" s="32"/>
      <c r="AB158" s="32"/>
      <c r="AC158" s="32"/>
      <c r="AD158" s="32"/>
      <c r="AE158" s="32"/>
      <c r="AF158" s="32"/>
      <c r="AG158" s="32"/>
      <c r="AH158" s="32"/>
    </row>
    <row r="159">
      <c r="A159" s="91" t="s">
        <v>17</v>
      </c>
      <c r="B159" s="92">
        <f t="shared" si="5"/>
        <v>143.29</v>
      </c>
      <c r="C159" s="91" t="str">
        <f t="shared" si="4"/>
        <v>4</v>
      </c>
      <c r="D159" s="19" t="s">
        <v>395</v>
      </c>
      <c r="E159" s="91">
        <v>1.0</v>
      </c>
      <c r="F159" s="91"/>
      <c r="G159" s="91"/>
      <c r="H159" s="91"/>
      <c r="I159" s="91"/>
      <c r="J159" s="91"/>
      <c r="K159" s="93">
        <v>98.52</v>
      </c>
      <c r="L159" s="91">
        <v>4477.0</v>
      </c>
      <c r="M159" s="91">
        <v>4477.0</v>
      </c>
      <c r="N159" s="94">
        <v>1.6666666666666667</v>
      </c>
      <c r="O159" s="95">
        <v>0.8631944444444445</v>
      </c>
      <c r="P159" s="93">
        <v>6.9</v>
      </c>
      <c r="Q159" s="93">
        <v>6.9</v>
      </c>
      <c r="R159" s="96" t="s">
        <v>396</v>
      </c>
      <c r="S159" s="97" t="s">
        <v>175</v>
      </c>
      <c r="T159" s="90"/>
      <c r="V159" s="32"/>
      <c r="W159" s="32"/>
      <c r="X159" s="32"/>
      <c r="Y159" s="32"/>
      <c r="Z159" s="32"/>
      <c r="AA159" s="32"/>
      <c r="AB159" s="32"/>
      <c r="AC159" s="32"/>
      <c r="AD159" s="32"/>
      <c r="AE159" s="32"/>
      <c r="AF159" s="32"/>
      <c r="AG159" s="32"/>
      <c r="AH159" s="32"/>
    </row>
    <row r="160">
      <c r="A160" s="91" t="s">
        <v>17</v>
      </c>
      <c r="B160" s="92">
        <f t="shared" si="5"/>
        <v>147.6</v>
      </c>
      <c r="C160" s="91" t="str">
        <f t="shared" si="4"/>
        <v>4</v>
      </c>
      <c r="D160" s="19" t="s">
        <v>397</v>
      </c>
      <c r="E160" s="91">
        <v>7.0</v>
      </c>
      <c r="F160" s="91"/>
      <c r="G160" s="91"/>
      <c r="H160" s="91"/>
      <c r="I160" s="91"/>
      <c r="J160" s="91"/>
      <c r="K160" s="93">
        <v>82.9</v>
      </c>
      <c r="L160" s="91">
        <v>6470.0</v>
      </c>
      <c r="M160" s="91">
        <v>6470.0</v>
      </c>
      <c r="N160" s="98">
        <v>2.4166666666666665</v>
      </c>
      <c r="O160" s="94">
        <v>1.1541666666666666</v>
      </c>
      <c r="P160" s="91" t="s">
        <v>77</v>
      </c>
      <c r="Q160" s="91" t="s">
        <v>77</v>
      </c>
      <c r="R160" s="96" t="s">
        <v>398</v>
      </c>
      <c r="S160" s="97" t="s">
        <v>379</v>
      </c>
      <c r="T160" s="90"/>
      <c r="V160" s="32"/>
      <c r="W160" s="32"/>
      <c r="X160" s="32"/>
      <c r="Y160" s="32"/>
      <c r="Z160" s="32"/>
      <c r="AA160" s="32"/>
      <c r="AB160" s="32"/>
      <c r="AC160" s="32"/>
      <c r="AD160" s="32"/>
      <c r="AE160" s="32"/>
      <c r="AF160" s="32"/>
      <c r="AG160" s="32"/>
      <c r="AH160" s="32"/>
    </row>
    <row r="161">
      <c r="A161" s="91" t="s">
        <v>17</v>
      </c>
      <c r="B161" s="92">
        <f t="shared" si="5"/>
        <v>151.84</v>
      </c>
      <c r="C161" s="91">
        <v>4.0</v>
      </c>
      <c r="D161" s="19" t="s">
        <v>399</v>
      </c>
      <c r="E161" s="91">
        <v>6.0</v>
      </c>
      <c r="F161" s="91"/>
      <c r="G161" s="91"/>
      <c r="H161" s="91"/>
      <c r="I161" s="91"/>
      <c r="J161" s="91"/>
      <c r="K161" s="93">
        <v>85.0</v>
      </c>
      <c r="L161" s="91">
        <v>6684.0</v>
      </c>
      <c r="M161" s="91" t="s">
        <v>77</v>
      </c>
      <c r="N161" s="98">
        <v>2.5625</v>
      </c>
      <c r="O161" s="94">
        <v>1.3909722222222223</v>
      </c>
      <c r="P161" s="102">
        <f t="shared" ref="P161:Q161" si="6">85/33+(23/60)</f>
        <v>2.959090909</v>
      </c>
      <c r="Q161" s="102">
        <f t="shared" si="6"/>
        <v>2.959090909</v>
      </c>
      <c r="R161" s="101" t="s">
        <v>400</v>
      </c>
      <c r="S161" s="97" t="s">
        <v>379</v>
      </c>
      <c r="T161" s="103"/>
      <c r="V161" s="32"/>
      <c r="W161" s="32"/>
      <c r="X161" s="32"/>
      <c r="Y161" s="32"/>
      <c r="Z161" s="32"/>
      <c r="AA161" s="32"/>
      <c r="AB161" s="32"/>
      <c r="AC161" s="32"/>
      <c r="AD161" s="32"/>
      <c r="AE161" s="32"/>
      <c r="AF161" s="32"/>
      <c r="AG161" s="32"/>
      <c r="AH161" s="32"/>
    </row>
    <row r="162">
      <c r="A162" s="91" t="s">
        <v>17</v>
      </c>
      <c r="B162" s="92">
        <f t="shared" si="5"/>
        <v>151.56</v>
      </c>
      <c r="C162" s="91" t="str">
        <f>IF(B162&lt;25,"0",If(B162&lt;45,"1",If(B162&lt;75,"2",If(B162&lt;115,"3",If(B162&lt;155,"4",If(B162&lt;210,"5","6"))))))</f>
        <v>4</v>
      </c>
      <c r="D162" s="19" t="s">
        <v>401</v>
      </c>
      <c r="E162" s="91">
        <v>5.0</v>
      </c>
      <c r="F162" s="91"/>
      <c r="G162" s="91"/>
      <c r="H162" s="91"/>
      <c r="I162" s="91"/>
      <c r="J162" s="91"/>
      <c r="K162" s="91">
        <v>101.0</v>
      </c>
      <c r="L162" s="91">
        <v>5056.0</v>
      </c>
      <c r="M162" s="91">
        <v>5056.0</v>
      </c>
      <c r="N162" s="91" t="s">
        <v>77</v>
      </c>
      <c r="O162" s="94">
        <v>1.1666666666666667</v>
      </c>
      <c r="P162" s="91" t="s">
        <v>77</v>
      </c>
      <c r="Q162" s="91" t="s">
        <v>77</v>
      </c>
      <c r="R162" s="96" t="s">
        <v>402</v>
      </c>
      <c r="S162" s="97" t="s">
        <v>147</v>
      </c>
      <c r="T162" s="32"/>
      <c r="V162" s="32"/>
      <c r="W162" s="32"/>
      <c r="X162" s="32"/>
      <c r="Y162" s="32"/>
      <c r="Z162" s="32"/>
      <c r="AA162" s="32"/>
      <c r="AB162" s="32"/>
      <c r="AC162" s="32"/>
      <c r="AD162" s="32"/>
      <c r="AE162" s="32"/>
      <c r="AF162" s="32"/>
      <c r="AG162" s="32"/>
      <c r="AH162" s="32"/>
    </row>
    <row r="163">
      <c r="A163" s="32"/>
      <c r="B163" s="32"/>
      <c r="C163" s="32"/>
      <c r="D163" s="32"/>
      <c r="E163" s="32"/>
      <c r="F163" s="32"/>
      <c r="G163" s="32"/>
      <c r="H163" s="32"/>
      <c r="I163" s="32"/>
      <c r="J163" s="32"/>
      <c r="K163" s="32"/>
      <c r="L163" s="32"/>
      <c r="M163" s="32"/>
      <c r="N163" s="32"/>
      <c r="O163" s="32"/>
      <c r="P163" s="32"/>
      <c r="Q163" s="32"/>
      <c r="R163" s="32"/>
      <c r="S163" s="32"/>
      <c r="T163" s="32"/>
      <c r="V163" s="32"/>
      <c r="W163" s="32"/>
      <c r="X163" s="32"/>
      <c r="Y163" s="32"/>
      <c r="Z163" s="32"/>
      <c r="AA163" s="32"/>
      <c r="AB163" s="32"/>
      <c r="AC163" s="32"/>
      <c r="AD163" s="32"/>
      <c r="AE163" s="32"/>
      <c r="AF163" s="32"/>
      <c r="AG163" s="32"/>
      <c r="AH163" s="32"/>
    </row>
    <row r="164">
      <c r="A164" s="32"/>
      <c r="B164" s="32"/>
      <c r="C164" s="32"/>
      <c r="D164" s="32"/>
      <c r="E164" s="32"/>
      <c r="F164" s="32"/>
      <c r="G164" s="32"/>
      <c r="H164" s="32"/>
      <c r="I164" s="32"/>
      <c r="J164" s="32"/>
      <c r="K164" s="32"/>
      <c r="L164" s="32"/>
      <c r="M164" s="32"/>
      <c r="N164" s="32"/>
      <c r="O164" s="32"/>
      <c r="P164" s="32"/>
      <c r="Q164" s="32"/>
      <c r="R164" s="32"/>
      <c r="S164" s="32"/>
      <c r="T164" s="32"/>
      <c r="V164" s="32"/>
      <c r="W164" s="32"/>
      <c r="X164" s="32"/>
      <c r="Y164" s="32"/>
      <c r="Z164" s="32"/>
      <c r="AA164" s="32"/>
      <c r="AB164" s="32"/>
      <c r="AC164" s="32"/>
      <c r="AD164" s="32"/>
      <c r="AE164" s="32"/>
      <c r="AF164" s="32"/>
      <c r="AG164" s="32"/>
      <c r="AH164" s="32"/>
    </row>
    <row r="165">
      <c r="A165" s="32"/>
      <c r="B165" s="32"/>
      <c r="C165" s="32"/>
      <c r="D165" s="32"/>
      <c r="E165" s="32"/>
      <c r="F165" s="32"/>
      <c r="G165" s="32"/>
      <c r="H165" s="32"/>
      <c r="I165" s="32"/>
      <c r="J165" s="32"/>
      <c r="K165" s="32"/>
      <c r="L165" s="32"/>
      <c r="M165" s="32"/>
      <c r="N165" s="32"/>
      <c r="O165" s="32"/>
      <c r="P165" s="32"/>
      <c r="Q165" s="32"/>
      <c r="R165" s="32"/>
      <c r="S165" s="32"/>
      <c r="T165" s="32"/>
      <c r="V165" s="32"/>
      <c r="W165" s="32"/>
      <c r="X165" s="32"/>
      <c r="Y165" s="32"/>
      <c r="Z165" s="32"/>
      <c r="AA165" s="32"/>
      <c r="AB165" s="32"/>
      <c r="AC165" s="32"/>
      <c r="AD165" s="32"/>
      <c r="AE165" s="32"/>
      <c r="AF165" s="32"/>
      <c r="AG165" s="32"/>
      <c r="AH165" s="32"/>
    </row>
    <row r="166">
      <c r="A166" s="32"/>
      <c r="B166" s="32"/>
      <c r="C166" s="32"/>
      <c r="D166" s="32"/>
      <c r="E166" s="32"/>
      <c r="F166" s="32"/>
      <c r="G166" s="32"/>
      <c r="H166" s="32"/>
      <c r="I166" s="32"/>
      <c r="J166" s="32"/>
      <c r="K166" s="32"/>
      <c r="L166" s="32"/>
      <c r="M166" s="32"/>
      <c r="N166" s="32"/>
      <c r="O166" s="32"/>
      <c r="P166" s="32"/>
      <c r="Q166" s="32"/>
      <c r="R166" s="32"/>
      <c r="S166" s="32"/>
      <c r="T166" s="32"/>
      <c r="V166" s="32"/>
      <c r="W166" s="32"/>
      <c r="X166" s="32"/>
      <c r="Y166" s="32"/>
      <c r="Z166" s="32"/>
      <c r="AA166" s="32"/>
      <c r="AB166" s="32"/>
      <c r="AC166" s="32"/>
      <c r="AD166" s="32"/>
      <c r="AE166" s="32"/>
      <c r="AF166" s="32"/>
      <c r="AG166" s="32"/>
      <c r="AH166" s="32"/>
    </row>
    <row r="167">
      <c r="A167" s="32"/>
      <c r="B167" s="32"/>
      <c r="C167" s="32"/>
      <c r="D167" s="32"/>
      <c r="E167" s="32"/>
      <c r="F167" s="32"/>
      <c r="G167" s="32"/>
      <c r="H167" s="32"/>
      <c r="I167" s="32"/>
      <c r="J167" s="32"/>
      <c r="K167" s="32"/>
      <c r="L167" s="32"/>
      <c r="M167" s="32"/>
      <c r="N167" s="32"/>
      <c r="O167" s="32"/>
      <c r="P167" s="32"/>
      <c r="Q167" s="32"/>
      <c r="R167" s="32"/>
      <c r="S167" s="32"/>
      <c r="T167" s="32"/>
      <c r="V167" s="32"/>
      <c r="W167" s="32"/>
      <c r="X167" s="32"/>
      <c r="Y167" s="32"/>
      <c r="Z167" s="32"/>
      <c r="AA167" s="32"/>
      <c r="AB167" s="32"/>
      <c r="AC167" s="32"/>
      <c r="AD167" s="32"/>
      <c r="AE167" s="32"/>
      <c r="AF167" s="32"/>
      <c r="AG167" s="32"/>
      <c r="AH167" s="32"/>
    </row>
  </sheetData>
  <mergeCells count="3">
    <mergeCell ref="A1:T1"/>
    <mergeCell ref="A2:T2"/>
    <mergeCell ref="A3:T3"/>
  </mergeCells>
  <hyperlinks>
    <hyperlink r:id="rId2" ref="R11"/>
    <hyperlink r:id="rId3" ref="R13"/>
    <hyperlink r:id="rId4" ref="R14"/>
    <hyperlink r:id="rId5" ref="R15"/>
    <hyperlink r:id="rId6" ref="R17"/>
    <hyperlink r:id="rId7" ref="R18"/>
    <hyperlink r:id="rId8" ref="R19"/>
    <hyperlink r:id="rId9" ref="R20"/>
    <hyperlink r:id="rId10" ref="R21"/>
    <hyperlink r:id="rId11" ref="R22"/>
    <hyperlink r:id="rId12" ref="R23"/>
    <hyperlink r:id="rId13" ref="R25"/>
    <hyperlink r:id="rId14" ref="R26"/>
    <hyperlink r:id="rId15" ref="R27"/>
    <hyperlink r:id="rId16" ref="R28"/>
    <hyperlink r:id="rId17" ref="R30"/>
    <hyperlink r:id="rId18" ref="R31"/>
    <hyperlink r:id="rId19" ref="R32"/>
    <hyperlink r:id="rId20" ref="R33"/>
    <hyperlink r:id="rId21" ref="R35"/>
    <hyperlink r:id="rId22" ref="R36"/>
    <hyperlink r:id="rId23" ref="R37"/>
    <hyperlink r:id="rId24" ref="R39"/>
    <hyperlink r:id="rId25" ref="R40"/>
    <hyperlink r:id="rId26" ref="R41"/>
    <hyperlink r:id="rId27" ref="R43"/>
    <hyperlink r:id="rId28" ref="R44"/>
    <hyperlink r:id="rId29" ref="R46"/>
    <hyperlink r:id="rId30" ref="R47"/>
    <hyperlink r:id="rId31" ref="R48"/>
    <hyperlink r:id="rId32" ref="R49"/>
    <hyperlink r:id="rId33" ref="R50"/>
    <hyperlink r:id="rId34" ref="R51"/>
    <hyperlink r:id="rId35" ref="R52"/>
    <hyperlink r:id="rId36" ref="R53"/>
    <hyperlink r:id="rId37" ref="R54"/>
    <hyperlink r:id="rId38" ref="R55"/>
    <hyperlink r:id="rId39" ref="R56"/>
    <hyperlink r:id="rId40" ref="R57"/>
    <hyperlink r:id="rId41" ref="R58"/>
    <hyperlink r:id="rId42" ref="R59"/>
    <hyperlink r:id="rId43" ref="R60"/>
    <hyperlink r:id="rId44" ref="R61"/>
    <hyperlink r:id="rId45" ref="R62"/>
    <hyperlink r:id="rId46" ref="R63"/>
    <hyperlink r:id="rId47" ref="R64"/>
    <hyperlink r:id="rId48" ref="R65"/>
    <hyperlink r:id="rId49" ref="R66"/>
    <hyperlink r:id="rId50" ref="R67"/>
    <hyperlink r:id="rId51" ref="R68"/>
    <hyperlink r:id="rId52" ref="R69"/>
    <hyperlink r:id="rId53" ref="R70"/>
    <hyperlink r:id="rId54" ref="R71"/>
    <hyperlink r:id="rId55" ref="R72"/>
    <hyperlink r:id="rId56" ref="R73"/>
    <hyperlink r:id="rId57" ref="R74"/>
    <hyperlink r:id="rId58" ref="R75"/>
    <hyperlink r:id="rId59" ref="R78"/>
    <hyperlink r:id="rId60" ref="R79"/>
    <hyperlink r:id="rId61" ref="R80"/>
    <hyperlink r:id="rId62" ref="R81"/>
    <hyperlink r:id="rId63" ref="R82"/>
    <hyperlink r:id="rId64" ref="R83"/>
    <hyperlink r:id="rId65" ref="R84"/>
    <hyperlink r:id="rId66" ref="R85"/>
    <hyperlink r:id="rId67" ref="R86"/>
    <hyperlink r:id="rId68" ref="R88"/>
    <hyperlink r:id="rId69" ref="R89"/>
    <hyperlink r:id="rId70" ref="R90"/>
    <hyperlink r:id="rId71" ref="R91"/>
    <hyperlink r:id="rId72" ref="R92"/>
    <hyperlink r:id="rId73" ref="R93"/>
    <hyperlink r:id="rId74" ref="R94"/>
    <hyperlink r:id="rId75" ref="R95"/>
    <hyperlink r:id="rId76" ref="R96"/>
    <hyperlink r:id="rId77" ref="R97"/>
    <hyperlink r:id="rId78" ref="R98"/>
    <hyperlink r:id="rId79" ref="R99"/>
    <hyperlink r:id="rId80" ref="R102"/>
    <hyperlink r:id="rId81" ref="R103"/>
    <hyperlink r:id="rId82" ref="R104"/>
    <hyperlink r:id="rId83" ref="R105"/>
    <hyperlink r:id="rId84" ref="R106"/>
    <hyperlink r:id="rId85" ref="R107"/>
    <hyperlink r:id="rId86" ref="R108"/>
    <hyperlink r:id="rId87" ref="R109"/>
    <hyperlink r:id="rId88" ref="R110"/>
    <hyperlink r:id="rId89" ref="R111"/>
    <hyperlink r:id="rId90" ref="R112"/>
    <hyperlink r:id="rId91" ref="R113"/>
    <hyperlink r:id="rId92" ref="R114"/>
    <hyperlink r:id="rId93" ref="R115"/>
    <hyperlink r:id="rId94" ref="R116"/>
    <hyperlink r:id="rId95" ref="R117"/>
    <hyperlink r:id="rId96" ref="R119"/>
    <hyperlink r:id="rId97" ref="R120"/>
    <hyperlink r:id="rId98" ref="R121"/>
    <hyperlink r:id="rId99" ref="R122"/>
    <hyperlink r:id="rId100" ref="R123"/>
    <hyperlink r:id="rId101" ref="R124"/>
    <hyperlink r:id="rId102" ref="R125"/>
    <hyperlink r:id="rId103" ref="R127"/>
    <hyperlink r:id="rId104" ref="R128"/>
    <hyperlink r:id="rId105" ref="R129"/>
    <hyperlink r:id="rId106" ref="R130"/>
    <hyperlink r:id="rId107" ref="R131"/>
    <hyperlink r:id="rId108" ref="R132"/>
    <hyperlink r:id="rId109" ref="R134"/>
    <hyperlink r:id="rId110" ref="R135"/>
    <hyperlink r:id="rId111" ref="R136"/>
    <hyperlink r:id="rId112" ref="R137"/>
    <hyperlink r:id="rId113" ref="R138"/>
    <hyperlink r:id="rId114" ref="R140"/>
    <hyperlink r:id="rId115" ref="R141"/>
    <hyperlink r:id="rId116" ref="R142"/>
    <hyperlink r:id="rId117" ref="R143"/>
    <hyperlink r:id="rId118" ref="R144"/>
    <hyperlink r:id="rId119" ref="R145"/>
    <hyperlink r:id="rId120" ref="R147"/>
    <hyperlink r:id="rId121" ref="R148"/>
    <hyperlink r:id="rId122" ref="R149"/>
    <hyperlink r:id="rId123" ref="R150"/>
    <hyperlink r:id="rId124" ref="R151"/>
    <hyperlink r:id="rId125" ref="R152"/>
    <hyperlink r:id="rId126" ref="R153"/>
    <hyperlink r:id="rId127" ref="R154"/>
    <hyperlink r:id="rId128" ref="R155"/>
    <hyperlink r:id="rId129" ref="R158"/>
    <hyperlink r:id="rId130" ref="R159"/>
    <hyperlink r:id="rId131" ref="R160"/>
    <hyperlink r:id="rId132" ref="R161"/>
    <hyperlink r:id="rId133" ref="R162"/>
  </hyperlinks>
  <printOptions horizontalCentered="1"/>
  <pageMargins bottom="1.0" footer="0.0" header="0.0" left="1.0" right="1.0" top="1.0"/>
  <pageSetup paperSize="9" orientation="portrait" pageOrder="overThenDown"/>
  <drawing r:id="rId134"/>
  <legacyDrawing r:id="rId13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9.0"/>
    <col customWidth="1" min="3" max="3" width="10.38"/>
    <col customWidth="1" min="4" max="4" width="12.38"/>
    <col customWidth="1" min="5" max="6" width="10.38"/>
    <col customWidth="1" min="7" max="7" width="9.0"/>
    <col customWidth="1" min="8" max="8" width="12.88"/>
    <col customWidth="1" min="9" max="9" width="13.0"/>
    <col customWidth="1" min="10" max="10" width="5.5"/>
    <col customWidth="1" min="11" max="11" width="24.38"/>
  </cols>
  <sheetData>
    <row r="1">
      <c r="A1" s="29" t="s">
        <v>403</v>
      </c>
    </row>
    <row r="2">
      <c r="A2" s="30" t="s">
        <v>54</v>
      </c>
    </row>
    <row r="3">
      <c r="A3" s="104" t="s">
        <v>55</v>
      </c>
      <c r="B3" s="105"/>
      <c r="C3" s="105"/>
      <c r="D3" s="105"/>
      <c r="E3" s="105"/>
      <c r="F3" s="105"/>
      <c r="G3" s="105"/>
      <c r="H3" s="105"/>
      <c r="I3" s="105"/>
      <c r="J3" s="105"/>
      <c r="K3" s="106"/>
    </row>
    <row r="4">
      <c r="A4" s="31" t="s">
        <v>404</v>
      </c>
      <c r="B4" s="31" t="s">
        <v>57</v>
      </c>
      <c r="C4" s="31" t="s">
        <v>59</v>
      </c>
      <c r="D4" s="31" t="s">
        <v>66</v>
      </c>
      <c r="E4" s="31" t="s">
        <v>67</v>
      </c>
      <c r="F4" s="31" t="s">
        <v>68</v>
      </c>
      <c r="G4" s="107" t="s">
        <v>405</v>
      </c>
      <c r="H4" s="31" t="s">
        <v>406</v>
      </c>
      <c r="I4" s="31" t="s">
        <v>407</v>
      </c>
      <c r="J4" s="31" t="s">
        <v>408</v>
      </c>
      <c r="K4" s="31" t="s">
        <v>409</v>
      </c>
    </row>
    <row r="5">
      <c r="A5" s="108" t="s">
        <v>175</v>
      </c>
      <c r="B5" s="109">
        <f t="shared" ref="B5:B17" si="1">D5+(E5/100)</f>
        <v>42.65</v>
      </c>
      <c r="C5" s="108" t="s">
        <v>150</v>
      </c>
      <c r="D5" s="110">
        <v>21.4</v>
      </c>
      <c r="E5" s="108">
        <v>2125.0</v>
      </c>
      <c r="F5" s="108">
        <v>2125.0</v>
      </c>
      <c r="G5" s="111">
        <v>0.18806712962962963</v>
      </c>
      <c r="H5" s="108" t="s">
        <v>410</v>
      </c>
      <c r="I5" s="108" t="s">
        <v>411</v>
      </c>
      <c r="J5" s="108">
        <v>2018.0</v>
      </c>
      <c r="K5" s="112" t="s">
        <v>412</v>
      </c>
    </row>
    <row r="6">
      <c r="A6" s="108" t="s">
        <v>175</v>
      </c>
      <c r="B6" s="109">
        <f t="shared" si="1"/>
        <v>48.64</v>
      </c>
      <c r="C6" s="108" t="s">
        <v>190</v>
      </c>
      <c r="D6" s="108">
        <v>27.5</v>
      </c>
      <c r="E6" s="108">
        <v>2114.0</v>
      </c>
      <c r="F6" s="108">
        <v>2114.0</v>
      </c>
      <c r="G6" s="113">
        <v>0.16180555555555556</v>
      </c>
      <c r="H6" s="108" t="s">
        <v>413</v>
      </c>
      <c r="I6" s="108" t="s">
        <v>414</v>
      </c>
      <c r="J6" s="108">
        <v>2014.0</v>
      </c>
      <c r="K6" s="112" t="s">
        <v>415</v>
      </c>
    </row>
    <row r="7">
      <c r="A7" s="108" t="s">
        <v>175</v>
      </c>
      <c r="B7" s="109">
        <f t="shared" si="1"/>
        <v>51</v>
      </c>
      <c r="C7" s="108" t="s">
        <v>220</v>
      </c>
      <c r="D7" s="114">
        <v>35.0</v>
      </c>
      <c r="E7" s="108">
        <v>1600.0</v>
      </c>
      <c r="F7" s="108">
        <v>1600.0</v>
      </c>
      <c r="G7" s="113">
        <v>0.18336805555555555</v>
      </c>
      <c r="H7" s="108" t="s">
        <v>416</v>
      </c>
      <c r="I7" s="108"/>
      <c r="J7" s="108"/>
      <c r="K7" s="108"/>
    </row>
    <row r="8">
      <c r="A8" s="115" t="s">
        <v>100</v>
      </c>
      <c r="B8" s="116">
        <f t="shared" si="1"/>
        <v>33.06</v>
      </c>
      <c r="C8" s="117" t="s">
        <v>118</v>
      </c>
      <c r="D8" s="118">
        <v>13.27</v>
      </c>
      <c r="E8" s="117">
        <v>1979.0</v>
      </c>
      <c r="F8" s="117">
        <v>1979.0</v>
      </c>
      <c r="G8" s="119">
        <v>0.14930555555555555</v>
      </c>
      <c r="H8" s="117" t="s">
        <v>417</v>
      </c>
      <c r="I8" s="117" t="s">
        <v>418</v>
      </c>
      <c r="J8" s="117">
        <v>2022.0</v>
      </c>
      <c r="K8" s="120" t="s">
        <v>419</v>
      </c>
    </row>
    <row r="9">
      <c r="A9" s="115" t="s">
        <v>100</v>
      </c>
      <c r="B9" s="116">
        <f t="shared" si="1"/>
        <v>35</v>
      </c>
      <c r="C9" s="117" t="s">
        <v>138</v>
      </c>
      <c r="D9" s="118">
        <v>19.0</v>
      </c>
      <c r="E9" s="117">
        <v>1600.0</v>
      </c>
      <c r="F9" s="117">
        <v>1600.0</v>
      </c>
      <c r="G9" s="119">
        <v>0.21721064814814814</v>
      </c>
      <c r="H9" s="117" t="s">
        <v>420</v>
      </c>
      <c r="I9" s="117"/>
      <c r="J9" s="117"/>
      <c r="K9" s="117"/>
    </row>
    <row r="10">
      <c r="A10" s="115" t="s">
        <v>100</v>
      </c>
      <c r="B10" s="116">
        <f t="shared" si="1"/>
        <v>40</v>
      </c>
      <c r="C10" s="117" t="s">
        <v>135</v>
      </c>
      <c r="D10" s="118">
        <v>18.0</v>
      </c>
      <c r="E10" s="117">
        <v>2200.0</v>
      </c>
      <c r="F10" s="117">
        <v>2200.0</v>
      </c>
      <c r="G10" s="119">
        <v>0.21875</v>
      </c>
      <c r="H10" s="117" t="s">
        <v>421</v>
      </c>
      <c r="I10" s="117" t="s">
        <v>414</v>
      </c>
      <c r="J10" s="117">
        <v>2020.0</v>
      </c>
      <c r="K10" s="120" t="s">
        <v>422</v>
      </c>
    </row>
    <row r="11" hidden="1">
      <c r="A11" s="115" t="s">
        <v>100</v>
      </c>
      <c r="B11" s="121">
        <f t="shared" si="1"/>
        <v>18.15</v>
      </c>
      <c r="C11" s="117" t="s">
        <v>96</v>
      </c>
      <c r="D11" s="118">
        <v>7.0</v>
      </c>
      <c r="E11" s="117">
        <v>1115.0</v>
      </c>
      <c r="F11" s="117">
        <v>1115.0</v>
      </c>
      <c r="G11" s="119"/>
      <c r="H11" s="117"/>
      <c r="I11" s="117"/>
      <c r="J11" s="117"/>
      <c r="K11" s="117"/>
    </row>
    <row r="12" hidden="1">
      <c r="A12" s="115" t="s">
        <v>100</v>
      </c>
      <c r="B12" s="121">
        <f t="shared" si="1"/>
        <v>37.4</v>
      </c>
      <c r="C12" s="117" t="s">
        <v>123</v>
      </c>
      <c r="D12" s="118">
        <v>20.4</v>
      </c>
      <c r="E12" s="117">
        <v>1700.0</v>
      </c>
      <c r="F12" s="117">
        <v>1700.0</v>
      </c>
      <c r="G12" s="119"/>
      <c r="H12" s="117"/>
      <c r="I12" s="117"/>
      <c r="J12" s="117"/>
      <c r="K12" s="117"/>
    </row>
    <row r="13">
      <c r="A13" s="122" t="s">
        <v>127</v>
      </c>
      <c r="B13" s="123">
        <f t="shared" si="1"/>
        <v>40.16</v>
      </c>
      <c r="C13" s="122" t="s">
        <v>423</v>
      </c>
      <c r="D13" s="124">
        <v>24.5</v>
      </c>
      <c r="E13" s="122">
        <v>1566.0</v>
      </c>
      <c r="F13" s="122">
        <v>1566.0</v>
      </c>
      <c r="G13" s="125">
        <v>0.12638888888888888</v>
      </c>
      <c r="H13" s="122" t="s">
        <v>424</v>
      </c>
      <c r="I13" s="122" t="s">
        <v>425</v>
      </c>
      <c r="J13" s="122">
        <v>1993.0</v>
      </c>
      <c r="K13" s="126" t="s">
        <v>426</v>
      </c>
    </row>
    <row r="14">
      <c r="A14" s="122" t="s">
        <v>127</v>
      </c>
      <c r="B14" s="123">
        <f t="shared" si="1"/>
        <v>44.42</v>
      </c>
      <c r="C14" s="122" t="s">
        <v>427</v>
      </c>
      <c r="D14" s="124">
        <v>22.0</v>
      </c>
      <c r="E14" s="122">
        <v>2242.0</v>
      </c>
      <c r="F14" s="122">
        <v>2242.0</v>
      </c>
      <c r="G14" s="125">
        <v>0.14375</v>
      </c>
      <c r="H14" s="122" t="s">
        <v>428</v>
      </c>
      <c r="I14" s="122" t="s">
        <v>429</v>
      </c>
      <c r="J14" s="122">
        <v>2016.0</v>
      </c>
      <c r="K14" s="126" t="s">
        <v>430</v>
      </c>
    </row>
    <row r="15">
      <c r="A15" s="122" t="s">
        <v>127</v>
      </c>
      <c r="B15" s="123">
        <f t="shared" si="1"/>
        <v>45.83</v>
      </c>
      <c r="C15" s="122" t="s">
        <v>165</v>
      </c>
      <c r="D15" s="124">
        <v>22.16</v>
      </c>
      <c r="E15" s="122">
        <v>2367.0</v>
      </c>
      <c r="F15" s="122">
        <v>2367.0</v>
      </c>
      <c r="G15" s="125">
        <v>0.16614583333333333</v>
      </c>
      <c r="H15" s="122" t="s">
        <v>431</v>
      </c>
      <c r="I15" s="122" t="s">
        <v>432</v>
      </c>
      <c r="J15" s="122">
        <v>2022.0</v>
      </c>
      <c r="K15" s="127" t="s">
        <v>433</v>
      </c>
    </row>
    <row r="16">
      <c r="A16" s="122" t="s">
        <v>127</v>
      </c>
      <c r="B16" s="123">
        <f t="shared" si="1"/>
        <v>73.05</v>
      </c>
      <c r="C16" s="122" t="s">
        <v>291</v>
      </c>
      <c r="D16" s="124">
        <v>37.27</v>
      </c>
      <c r="E16" s="122">
        <v>3578.0</v>
      </c>
      <c r="F16" s="122">
        <v>3578.0</v>
      </c>
      <c r="G16" s="125">
        <v>0.3263888888888889</v>
      </c>
      <c r="H16" s="122" t="s">
        <v>434</v>
      </c>
      <c r="I16" s="122" t="s">
        <v>435</v>
      </c>
      <c r="J16" s="128"/>
      <c r="K16" s="128"/>
    </row>
    <row r="17">
      <c r="A17" s="122" t="s">
        <v>127</v>
      </c>
      <c r="B17" s="123">
        <f t="shared" si="1"/>
        <v>90.31</v>
      </c>
      <c r="C17" s="122" t="s">
        <v>338</v>
      </c>
      <c r="D17" s="122">
        <v>58.4</v>
      </c>
      <c r="E17" s="122">
        <v>3191.0</v>
      </c>
      <c r="F17" s="122">
        <v>3191.0</v>
      </c>
      <c r="G17" s="125">
        <v>0.6167361111111112</v>
      </c>
      <c r="H17" s="122" t="s">
        <v>436</v>
      </c>
      <c r="I17" s="122" t="s">
        <v>437</v>
      </c>
      <c r="J17" s="122">
        <v>2019.0</v>
      </c>
      <c r="K17" s="127" t="s">
        <v>438</v>
      </c>
    </row>
  </sheetData>
  <mergeCells count="3">
    <mergeCell ref="A1:K1"/>
    <mergeCell ref="A2:K2"/>
    <mergeCell ref="A3:K3"/>
  </mergeCells>
  <hyperlinks>
    <hyperlink r:id="rId2" ref="K5"/>
    <hyperlink r:id="rId3" ref="K6"/>
    <hyperlink r:id="rId4" ref="K8"/>
    <hyperlink r:id="rId5" ref="K10"/>
    <hyperlink r:id="rId6" ref="K13"/>
    <hyperlink r:id="rId7" ref="K14"/>
    <hyperlink r:id="rId8" ref="K15"/>
    <hyperlink r:id="rId9" ref="K17"/>
  </hyperlinks>
  <drawing r:id="rId10"/>
  <legacy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9" t="s">
        <v>439</v>
      </c>
      <c r="B1" s="7"/>
      <c r="C1" s="7"/>
      <c r="D1" s="7"/>
      <c r="E1" s="7"/>
      <c r="F1" s="8"/>
    </row>
    <row r="2">
      <c r="A2" s="130" t="s">
        <v>440</v>
      </c>
      <c r="B2" s="7"/>
      <c r="C2" s="7"/>
      <c r="D2" s="7"/>
      <c r="E2" s="7"/>
      <c r="F2" s="8"/>
    </row>
    <row r="3">
      <c r="A3" s="131" t="s">
        <v>441</v>
      </c>
      <c r="B3" s="132"/>
      <c r="C3" s="132"/>
      <c r="D3" s="132"/>
      <c r="E3" s="132"/>
      <c r="F3" s="133"/>
    </row>
    <row r="4">
      <c r="A4" s="134"/>
      <c r="B4" s="135"/>
      <c r="C4" s="135"/>
      <c r="D4" s="135"/>
      <c r="E4" s="135"/>
      <c r="F4" s="136"/>
    </row>
    <row r="5">
      <c r="A5" s="137" t="s">
        <v>442</v>
      </c>
      <c r="B5" s="132"/>
      <c r="C5" s="132"/>
      <c r="D5" s="132"/>
      <c r="E5" s="132"/>
      <c r="F5" s="133"/>
    </row>
    <row r="6">
      <c r="A6" s="134"/>
      <c r="B6" s="135"/>
      <c r="C6" s="135"/>
      <c r="D6" s="135"/>
      <c r="E6" s="135"/>
      <c r="F6" s="136"/>
    </row>
    <row r="7">
      <c r="A7" s="131" t="s">
        <v>443</v>
      </c>
      <c r="B7" s="132"/>
      <c r="C7" s="132"/>
      <c r="D7" s="132"/>
      <c r="E7" s="132"/>
      <c r="F7" s="133"/>
    </row>
    <row r="8">
      <c r="A8" s="134"/>
      <c r="B8" s="135"/>
      <c r="C8" s="135"/>
      <c r="D8" s="135"/>
      <c r="E8" s="135"/>
      <c r="F8" s="136"/>
    </row>
    <row r="9">
      <c r="A9" s="137" t="s">
        <v>444</v>
      </c>
      <c r="B9" s="132"/>
      <c r="C9" s="132"/>
      <c r="D9" s="132"/>
      <c r="E9" s="132"/>
      <c r="F9" s="133"/>
    </row>
    <row r="10">
      <c r="A10" s="134"/>
      <c r="B10" s="135"/>
      <c r="C10" s="135"/>
      <c r="D10" s="135"/>
      <c r="E10" s="135"/>
      <c r="F10" s="136"/>
    </row>
    <row r="11">
      <c r="A11" s="131" t="s">
        <v>445</v>
      </c>
      <c r="B11" s="132"/>
      <c r="C11" s="132"/>
      <c r="D11" s="132"/>
      <c r="E11" s="132"/>
      <c r="F11" s="133"/>
    </row>
    <row r="12">
      <c r="A12" s="134"/>
      <c r="B12" s="135"/>
      <c r="C12" s="135"/>
      <c r="D12" s="135"/>
      <c r="E12" s="135"/>
      <c r="F12" s="136"/>
    </row>
  </sheetData>
  <mergeCells count="7">
    <mergeCell ref="A1:F1"/>
    <mergeCell ref="A2:F2"/>
    <mergeCell ref="A3:F4"/>
    <mergeCell ref="A5:F6"/>
    <mergeCell ref="A7:F8"/>
    <mergeCell ref="A9:F10"/>
    <mergeCell ref="A11:F12"/>
  </mergeCells>
  <hyperlinks>
    <hyperlink r:id="rId1" ref="A3"/>
    <hyperlink r:id="rId2" ref="A5"/>
    <hyperlink r:id="rId3" ref="A7"/>
    <hyperlink r:id="rId4" ref="A9"/>
    <hyperlink r:id="rId5" ref="A11"/>
  </hyperlinks>
  <drawing r:id="rId6"/>
</worksheet>
</file>